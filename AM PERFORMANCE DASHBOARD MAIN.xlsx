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15CF2DAE-72C9-4B98-9275-985359BA3763}" xr6:coauthVersionLast="47" xr6:coauthVersionMax="47" xr10:uidLastSave="{00000000-0000-0000-0000-000000000000}"/>
  <bookViews>
    <workbookView xWindow="-120" yWindow="-120" windowWidth="20730" windowHeight="11040" activeTab="2" xr2:uid="{631338AA-F026-46E8-9751-77B6FB6F0010}"/>
  </bookViews>
  <sheets>
    <sheet name="DATA" sheetId="1" r:id="rId1"/>
    <sheet name="report" sheetId="5" state="hidden" r:id="rId2"/>
    <sheet name="DASHBOARD" sheetId="3" r:id="rId3"/>
  </sheets>
  <definedNames>
    <definedName name="_xlnm._FilterDatabase" localSheetId="0" hidden="1">DATA!$A$1:$U$309</definedName>
    <definedName name="Slicer_RM">#N/A</definedName>
  </definedNames>
  <calcPr calcId="191029"/>
  <pivotCaches>
    <pivotCache cacheId="9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82" i="1" l="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H126" i="5"/>
  <c r="I11" i="3" s="1"/>
  <c r="I126" i="5"/>
  <c r="J11" i="3" s="1"/>
  <c r="J126" i="5"/>
  <c r="K11" i="3" s="1"/>
  <c r="K126" i="5"/>
  <c r="L11" i="3" s="1"/>
  <c r="L126" i="5"/>
  <c r="M11" i="3" s="1"/>
  <c r="H127" i="5"/>
  <c r="I12" i="3" s="1"/>
  <c r="I127" i="5"/>
  <c r="J12" i="3" s="1"/>
  <c r="J127" i="5"/>
  <c r="K12" i="3" s="1"/>
  <c r="K127" i="5"/>
  <c r="L12" i="3" s="1"/>
  <c r="L127" i="5"/>
  <c r="M12" i="3" s="1"/>
  <c r="H128" i="5"/>
  <c r="I13" i="3" s="1"/>
  <c r="I128" i="5"/>
  <c r="J13" i="3" s="1"/>
  <c r="J128" i="5"/>
  <c r="K13" i="3" s="1"/>
  <c r="K128" i="5"/>
  <c r="L13" i="3" s="1"/>
  <c r="L128" i="5"/>
  <c r="M13" i="3" s="1"/>
  <c r="H129" i="5"/>
  <c r="I14" i="3" s="1"/>
  <c r="I129" i="5"/>
  <c r="J14" i="3" s="1"/>
  <c r="J129" i="5"/>
  <c r="K14" i="3" s="1"/>
  <c r="K129" i="5"/>
  <c r="L14" i="3" s="1"/>
  <c r="L129" i="5"/>
  <c r="M14" i="3" s="1"/>
  <c r="H130" i="5"/>
  <c r="I15" i="3" s="1"/>
  <c r="I130" i="5"/>
  <c r="J15" i="3" s="1"/>
  <c r="J130" i="5"/>
  <c r="K15" i="3" s="1"/>
  <c r="K130" i="5"/>
  <c r="L15" i="3" s="1"/>
  <c r="L130" i="5"/>
  <c r="M15" i="3" s="1"/>
  <c r="H131" i="5"/>
  <c r="I16" i="3" s="1"/>
  <c r="I131" i="5"/>
  <c r="J16" i="3" s="1"/>
  <c r="J131" i="5"/>
  <c r="K16" i="3" s="1"/>
  <c r="K131" i="5"/>
  <c r="L16" i="3" s="1"/>
  <c r="L131" i="5"/>
  <c r="M16" i="3" s="1"/>
  <c r="H132" i="5"/>
  <c r="I17" i="3" s="1"/>
  <c r="I132" i="5"/>
  <c r="J17" i="3" s="1"/>
  <c r="J132" i="5"/>
  <c r="K17" i="3" s="1"/>
  <c r="K132" i="5"/>
  <c r="L17" i="3" s="1"/>
  <c r="L132" i="5"/>
  <c r="M17" i="3" s="1"/>
  <c r="H133" i="5"/>
  <c r="I18" i="3" s="1"/>
  <c r="I133" i="5"/>
  <c r="J18" i="3" s="1"/>
  <c r="J133" i="5"/>
  <c r="K18" i="3" s="1"/>
  <c r="K133" i="5"/>
  <c r="L18" i="3" s="1"/>
  <c r="L133" i="5"/>
  <c r="M18" i="3" s="1"/>
  <c r="H134" i="5"/>
  <c r="I19" i="3" s="1"/>
  <c r="I134" i="5"/>
  <c r="J19" i="3" s="1"/>
  <c r="J134" i="5"/>
  <c r="K19" i="3" s="1"/>
  <c r="K134" i="5"/>
  <c r="L19" i="3" s="1"/>
  <c r="L134" i="5"/>
  <c r="M19" i="3" s="1"/>
  <c r="H135" i="5"/>
  <c r="I20" i="3" s="1"/>
  <c r="I135" i="5"/>
  <c r="J20" i="3" s="1"/>
  <c r="J135" i="5"/>
  <c r="K20" i="3" s="1"/>
  <c r="K135" i="5"/>
  <c r="L20" i="3" s="1"/>
  <c r="L135" i="5"/>
  <c r="M20" i="3" s="1"/>
  <c r="H136" i="5"/>
  <c r="I21" i="3" s="1"/>
  <c r="I136" i="5"/>
  <c r="J21" i="3" s="1"/>
  <c r="J136" i="5"/>
  <c r="K21" i="3" s="1"/>
  <c r="K136" i="5"/>
  <c r="L21" i="3" s="1"/>
  <c r="L136" i="5"/>
  <c r="M21" i="3" s="1"/>
  <c r="H137" i="5"/>
  <c r="I22" i="3" s="1"/>
  <c r="I137" i="5"/>
  <c r="J22" i="3" s="1"/>
  <c r="J137" i="5"/>
  <c r="K22" i="3" s="1"/>
  <c r="K137" i="5"/>
  <c r="L22" i="3" s="1"/>
  <c r="L137" i="5"/>
  <c r="M22" i="3" s="1"/>
  <c r="H138" i="5"/>
  <c r="I23" i="3" s="1"/>
  <c r="I138" i="5"/>
  <c r="J23" i="3" s="1"/>
  <c r="J138" i="5"/>
  <c r="K23" i="3" s="1"/>
  <c r="K138" i="5"/>
  <c r="L23" i="3" s="1"/>
  <c r="L138" i="5"/>
  <c r="M23" i="3" s="1"/>
  <c r="H139" i="5"/>
  <c r="I24" i="3" s="1"/>
  <c r="I139" i="5"/>
  <c r="J24" i="3" s="1"/>
  <c r="J139" i="5"/>
  <c r="K24" i="3" s="1"/>
  <c r="K139" i="5"/>
  <c r="L24" i="3" s="1"/>
  <c r="L139" i="5"/>
  <c r="M24" i="3" s="1"/>
  <c r="H140" i="5"/>
  <c r="I25" i="3" s="1"/>
  <c r="I140" i="5"/>
  <c r="J25" i="3" s="1"/>
  <c r="J140" i="5"/>
  <c r="K25" i="3" s="1"/>
  <c r="K140" i="5"/>
  <c r="L25" i="3" s="1"/>
  <c r="L140" i="5"/>
  <c r="M25" i="3" s="1"/>
  <c r="H141" i="5"/>
  <c r="I26" i="3" s="1"/>
  <c r="I141" i="5"/>
  <c r="J26" i="3" s="1"/>
  <c r="J141" i="5"/>
  <c r="K26" i="3" s="1"/>
  <c r="K141" i="5"/>
  <c r="L26" i="3" s="1"/>
  <c r="L141" i="5"/>
  <c r="M26" i="3" s="1"/>
  <c r="H142" i="5"/>
  <c r="I27" i="3" s="1"/>
  <c r="I142" i="5"/>
  <c r="J27" i="3" s="1"/>
  <c r="J142" i="5"/>
  <c r="K27" i="3" s="1"/>
  <c r="K142" i="5"/>
  <c r="L27" i="3" s="1"/>
  <c r="L142" i="5"/>
  <c r="M27" i="3" s="1"/>
  <c r="H143" i="5"/>
  <c r="I28" i="3" s="1"/>
  <c r="I143" i="5"/>
  <c r="J28" i="3" s="1"/>
  <c r="J143" i="5"/>
  <c r="K28" i="3" s="1"/>
  <c r="K143" i="5"/>
  <c r="L28" i="3" s="1"/>
  <c r="L143" i="5"/>
  <c r="M28" i="3" s="1"/>
  <c r="H144" i="5"/>
  <c r="I29" i="3" s="1"/>
  <c r="I144" i="5"/>
  <c r="J29" i="3" s="1"/>
  <c r="J144" i="5"/>
  <c r="K29" i="3" s="1"/>
  <c r="K144" i="5"/>
  <c r="L29" i="3" s="1"/>
  <c r="L144" i="5"/>
  <c r="M29" i="3" s="1"/>
  <c r="H145" i="5"/>
  <c r="I30" i="3" s="1"/>
  <c r="I145" i="5"/>
  <c r="J30" i="3" s="1"/>
  <c r="J145" i="5"/>
  <c r="K30" i="3" s="1"/>
  <c r="K145" i="5"/>
  <c r="L30" i="3" s="1"/>
  <c r="L145" i="5"/>
  <c r="M30" i="3" s="1"/>
  <c r="I125" i="5"/>
  <c r="J10" i="3" s="1"/>
  <c r="J125" i="5"/>
  <c r="K10" i="3" s="1"/>
  <c r="K125" i="5"/>
  <c r="L10" i="3" s="1"/>
  <c r="L125" i="5"/>
  <c r="M10" i="3" s="1"/>
  <c r="H125" i="5"/>
  <c r="I10" i="3" s="1"/>
  <c r="H25" i="5"/>
  <c r="C29" i="3" s="1"/>
  <c r="I25" i="5"/>
  <c r="D29" i="3" s="1"/>
  <c r="J25" i="5"/>
  <c r="E29" i="3" s="1"/>
  <c r="K25" i="5"/>
  <c r="F29" i="3" s="1"/>
  <c r="L25" i="5"/>
  <c r="G29" i="3" s="1"/>
  <c r="H26" i="5"/>
  <c r="C30" i="3" s="1"/>
  <c r="I26" i="5"/>
  <c r="D30" i="3" s="1"/>
  <c r="J26" i="5"/>
  <c r="E30" i="3" s="1"/>
  <c r="K26" i="5"/>
  <c r="F30" i="3" s="1"/>
  <c r="L26" i="5"/>
  <c r="G30" i="3" s="1"/>
  <c r="H7" i="5"/>
  <c r="C11" i="3" s="1"/>
  <c r="I7" i="5"/>
  <c r="D11" i="3" s="1"/>
  <c r="J7" i="5"/>
  <c r="E11" i="3" s="1"/>
  <c r="K7" i="5"/>
  <c r="F11" i="3" s="1"/>
  <c r="L7" i="5"/>
  <c r="G11" i="3" s="1"/>
  <c r="H8" i="5"/>
  <c r="C12" i="3" s="1"/>
  <c r="I8" i="5"/>
  <c r="D12" i="3" s="1"/>
  <c r="J8" i="5"/>
  <c r="E12" i="3" s="1"/>
  <c r="K8" i="5"/>
  <c r="F12" i="3" s="1"/>
  <c r="L8" i="5"/>
  <c r="G12" i="3" s="1"/>
  <c r="H9" i="5"/>
  <c r="C13" i="3" s="1"/>
  <c r="I9" i="5"/>
  <c r="D13" i="3" s="1"/>
  <c r="J9" i="5"/>
  <c r="E13" i="3" s="1"/>
  <c r="K9" i="5"/>
  <c r="F13" i="3" s="1"/>
  <c r="L9" i="5"/>
  <c r="G13" i="3" s="1"/>
  <c r="H10" i="5"/>
  <c r="C14" i="3" s="1"/>
  <c r="I10" i="5"/>
  <c r="D14" i="3" s="1"/>
  <c r="J10" i="5"/>
  <c r="E14" i="3" s="1"/>
  <c r="K10" i="5"/>
  <c r="F14" i="3" s="1"/>
  <c r="L10" i="5"/>
  <c r="G14" i="3" s="1"/>
  <c r="H11" i="5"/>
  <c r="C15" i="3" s="1"/>
  <c r="I11" i="5"/>
  <c r="D15" i="3" s="1"/>
  <c r="J11" i="5"/>
  <c r="E15" i="3" s="1"/>
  <c r="K11" i="5"/>
  <c r="F15" i="3" s="1"/>
  <c r="L11" i="5"/>
  <c r="G15" i="3" s="1"/>
  <c r="H12" i="5"/>
  <c r="C16" i="3" s="1"/>
  <c r="I12" i="5"/>
  <c r="D16" i="3" s="1"/>
  <c r="J12" i="5"/>
  <c r="E16" i="3" s="1"/>
  <c r="K12" i="5"/>
  <c r="F16" i="3" s="1"/>
  <c r="L12" i="5"/>
  <c r="G16" i="3" s="1"/>
  <c r="H13" i="5"/>
  <c r="C17" i="3" s="1"/>
  <c r="I13" i="5"/>
  <c r="D17" i="3" s="1"/>
  <c r="J13" i="5"/>
  <c r="E17" i="3" s="1"/>
  <c r="K13" i="5"/>
  <c r="F17" i="3" s="1"/>
  <c r="L13" i="5"/>
  <c r="G17" i="3" s="1"/>
  <c r="H14" i="5"/>
  <c r="C18" i="3" s="1"/>
  <c r="I14" i="5"/>
  <c r="D18" i="3" s="1"/>
  <c r="J14" i="5"/>
  <c r="E18" i="3" s="1"/>
  <c r="K14" i="5"/>
  <c r="F18" i="3" s="1"/>
  <c r="L14" i="5"/>
  <c r="G18" i="3" s="1"/>
  <c r="H15" i="5"/>
  <c r="C19" i="3" s="1"/>
  <c r="I15" i="5"/>
  <c r="D19" i="3" s="1"/>
  <c r="J15" i="5"/>
  <c r="E19" i="3" s="1"/>
  <c r="K15" i="5"/>
  <c r="F19" i="3" s="1"/>
  <c r="L15" i="5"/>
  <c r="G19" i="3" s="1"/>
  <c r="H16" i="5"/>
  <c r="C20" i="3" s="1"/>
  <c r="I16" i="5"/>
  <c r="D20" i="3" s="1"/>
  <c r="J16" i="5"/>
  <c r="E20" i="3" s="1"/>
  <c r="K16" i="5"/>
  <c r="F20" i="3" s="1"/>
  <c r="L16" i="5"/>
  <c r="G20" i="3" s="1"/>
  <c r="H17" i="5"/>
  <c r="C21" i="3" s="1"/>
  <c r="I17" i="5"/>
  <c r="D21" i="3" s="1"/>
  <c r="J17" i="5"/>
  <c r="E21" i="3" s="1"/>
  <c r="K17" i="5"/>
  <c r="F21" i="3" s="1"/>
  <c r="L17" i="5"/>
  <c r="G21" i="3" s="1"/>
  <c r="H18" i="5"/>
  <c r="C22" i="3" s="1"/>
  <c r="I18" i="5"/>
  <c r="D22" i="3" s="1"/>
  <c r="J18" i="5"/>
  <c r="E22" i="3" s="1"/>
  <c r="K18" i="5"/>
  <c r="F22" i="3" s="1"/>
  <c r="L18" i="5"/>
  <c r="G22" i="3" s="1"/>
  <c r="H19" i="5"/>
  <c r="C23" i="3" s="1"/>
  <c r="I19" i="5"/>
  <c r="D23" i="3" s="1"/>
  <c r="J19" i="5"/>
  <c r="E23" i="3" s="1"/>
  <c r="K19" i="5"/>
  <c r="F23" i="3" s="1"/>
  <c r="L19" i="5"/>
  <c r="G23" i="3" s="1"/>
  <c r="H20" i="5"/>
  <c r="C24" i="3" s="1"/>
  <c r="I20" i="5"/>
  <c r="D24" i="3" s="1"/>
  <c r="J20" i="5"/>
  <c r="E24" i="3" s="1"/>
  <c r="K20" i="5"/>
  <c r="F24" i="3" s="1"/>
  <c r="L20" i="5"/>
  <c r="G24" i="3" s="1"/>
  <c r="H21" i="5"/>
  <c r="C25" i="3" s="1"/>
  <c r="I21" i="5"/>
  <c r="D25" i="3" s="1"/>
  <c r="J21" i="5"/>
  <c r="E25" i="3" s="1"/>
  <c r="K21" i="5"/>
  <c r="F25" i="3" s="1"/>
  <c r="L21" i="5"/>
  <c r="G25" i="3" s="1"/>
  <c r="H22" i="5"/>
  <c r="C26" i="3" s="1"/>
  <c r="I22" i="5"/>
  <c r="D26" i="3" s="1"/>
  <c r="J22" i="5"/>
  <c r="E26" i="3" s="1"/>
  <c r="K22" i="5"/>
  <c r="F26" i="3" s="1"/>
  <c r="L22" i="5"/>
  <c r="G26" i="3" s="1"/>
  <c r="H23" i="5"/>
  <c r="C27" i="3" s="1"/>
  <c r="I23" i="5"/>
  <c r="D27" i="3" s="1"/>
  <c r="J23" i="5"/>
  <c r="E27" i="3" s="1"/>
  <c r="K23" i="5"/>
  <c r="F27" i="3" s="1"/>
  <c r="L23" i="5"/>
  <c r="G27" i="3" s="1"/>
  <c r="H24" i="5"/>
  <c r="C28" i="3" s="1"/>
  <c r="I24" i="5"/>
  <c r="D28" i="3" s="1"/>
  <c r="J24" i="5"/>
  <c r="E28" i="3" s="1"/>
  <c r="K24" i="5"/>
  <c r="F28" i="3" s="1"/>
  <c r="L24" i="5"/>
  <c r="G28" i="3" s="1"/>
  <c r="J6" i="5"/>
  <c r="E10" i="3" s="1"/>
  <c r="K6" i="5"/>
  <c r="F10" i="3" s="1"/>
  <c r="L6" i="5"/>
  <c r="G10" i="3" s="1"/>
  <c r="I6" i="5"/>
  <c r="D10" i="3" s="1"/>
  <c r="H6" i="5"/>
  <c r="C10" i="3" s="1"/>
</calcChain>
</file>

<file path=xl/sharedStrings.xml><?xml version="1.0" encoding="utf-8"?>
<sst xmlns="http://schemas.openxmlformats.org/spreadsheetml/2006/main" count="2289" uniqueCount="457">
  <si>
    <t>AM Code</t>
  </si>
  <si>
    <t>Name</t>
  </si>
  <si>
    <t>Position</t>
  </si>
  <si>
    <t>Region</t>
  </si>
  <si>
    <t>State</t>
  </si>
  <si>
    <t>SM CODE</t>
  </si>
  <si>
    <t>SM</t>
  </si>
  <si>
    <t>RM CODE</t>
  </si>
  <si>
    <t>RM</t>
  </si>
  <si>
    <t>Total Bonus</t>
  </si>
  <si>
    <t>排名
ranking</t>
  </si>
  <si>
    <t>是否合格
qualified or not</t>
  </si>
  <si>
    <t>本周期新发合格Pos
Qualified POS in This Month</t>
  </si>
  <si>
    <t>押金合格pos 
Last Month rollover pos -caution deposit</t>
  </si>
  <si>
    <t>合格POS
qualified POS in This Month
with rollover</t>
  </si>
  <si>
    <t>合格率
qualification rate</t>
  </si>
  <si>
    <t>奖金 Bouns</t>
  </si>
  <si>
    <t>Qualified aggr this month</t>
  </si>
  <si>
    <t>qualified aggr last Month</t>
  </si>
  <si>
    <t>本月净增
Increase</t>
  </si>
  <si>
    <t>Mokwe Chizoba Ruth</t>
  </si>
  <si>
    <t>AM</t>
  </si>
  <si>
    <t>South East</t>
  </si>
  <si>
    <t>Abia</t>
  </si>
  <si>
    <t>Michael Ogechukwu Akwarandu</t>
  </si>
  <si>
    <t>Fakayejo Lekan Michael</t>
  </si>
  <si>
    <t>Y</t>
  </si>
  <si>
    <t>Nwoke Glory Ngozi</t>
  </si>
  <si>
    <t>Nkemakolam Odoemelam Friday</t>
  </si>
  <si>
    <t>North Central</t>
  </si>
  <si>
    <t>Nassarawa</t>
  </si>
  <si>
    <t>IBRAHIM MOHAMMED</t>
  </si>
  <si>
    <t>Jimoh Biliaminu</t>
  </si>
  <si>
    <t>N</t>
  </si>
  <si>
    <t>AJAEGBU ELIZABETH</t>
  </si>
  <si>
    <t>FCT</t>
  </si>
  <si>
    <t>Derek Olanrewaju Alana</t>
  </si>
  <si>
    <t>NICHOLAS DANIEL</t>
  </si>
  <si>
    <t>obiorapaul</t>
  </si>
  <si>
    <t>Ibekwe Stanley O</t>
  </si>
  <si>
    <t>EMMANUEL IKLAGA</t>
  </si>
  <si>
    <t>Niger</t>
  </si>
  <si>
    <t>Daniel Joseph</t>
  </si>
  <si>
    <t>LUKMAN MUSA</t>
  </si>
  <si>
    <t>omoregieanthony</t>
  </si>
  <si>
    <t>South South</t>
  </si>
  <si>
    <t>Delta</t>
  </si>
  <si>
    <t>davidsonaken</t>
  </si>
  <si>
    <t>omololasilva</t>
  </si>
  <si>
    <t>Ogunfowora Shalewa Monsurat</t>
  </si>
  <si>
    <t>Lagos</t>
  </si>
  <si>
    <t>Lagos-E</t>
  </si>
  <si>
    <t>Yusuff Wasiu Ayoade</t>
  </si>
  <si>
    <t>MICHAEL EGUMA</t>
  </si>
  <si>
    <t>Showunmi Olasumbo Daramola</t>
  </si>
  <si>
    <t>Ibrahim Omeiza Ismail</t>
  </si>
  <si>
    <t>Lagos-5</t>
  </si>
  <si>
    <t>Okoi Lucky Sunday</t>
  </si>
  <si>
    <t>Akintola Opeoluwa Abigail</t>
  </si>
  <si>
    <t>Abimbola Deniran Idowu</t>
  </si>
  <si>
    <t>Sonibare Mustapha Tunde</t>
  </si>
  <si>
    <t>Ibikunle Daniel Temilope</t>
  </si>
  <si>
    <t>Omoshalewa Abiola Otulana</t>
  </si>
  <si>
    <t>Lagos-D</t>
  </si>
  <si>
    <t>oparasamuelifeanyi</t>
  </si>
  <si>
    <t>Asomba Ekene Emmanuel</t>
  </si>
  <si>
    <t>Lola Shoyemi</t>
  </si>
  <si>
    <t>Awuto Peter Friday</t>
  </si>
  <si>
    <t>Adeniyi Deborah Oluwapelumi</t>
  </si>
  <si>
    <t>Okon Christian</t>
  </si>
  <si>
    <t>Cross River</t>
  </si>
  <si>
    <t>Adelusi Oluwatobi</t>
  </si>
  <si>
    <t>odukwemoses</t>
  </si>
  <si>
    <t>akpomedayeogaga</t>
  </si>
  <si>
    <t>AZUBUIKE ESTHER CHUKWUNONSO</t>
  </si>
  <si>
    <t>CHINEMEREM WISDOM EMMANUEL</t>
  </si>
  <si>
    <t>Umoinyang Abundance Emmanuel</t>
  </si>
  <si>
    <t>STEPHANIE OTOME</t>
  </si>
  <si>
    <t>Ukpong Saviour Alphonsus</t>
  </si>
  <si>
    <t>Deguare Ogheneruona</t>
  </si>
  <si>
    <t>Tega Jonathan</t>
  </si>
  <si>
    <t>Enita Atowho</t>
  </si>
  <si>
    <t>Anambra</t>
  </si>
  <si>
    <t>Ndidi Alex</t>
  </si>
  <si>
    <t>Efekoha famous</t>
  </si>
  <si>
    <t>Ohousi Mercy Osayendel</t>
  </si>
  <si>
    <t>OBASI KENNEDY CHINEDU</t>
  </si>
  <si>
    <t>Edo</t>
  </si>
  <si>
    <t>Emenogu Peterclave</t>
  </si>
  <si>
    <t>Prince Ikponmwosa Oshodin</t>
  </si>
  <si>
    <t>Mustapha Ahmad Mustapha</t>
  </si>
  <si>
    <t>North West</t>
  </si>
  <si>
    <t>Kano</t>
  </si>
  <si>
    <t>Abdulkadir Aliyu</t>
  </si>
  <si>
    <t>Fortunatus Chukwunenye Eze</t>
  </si>
  <si>
    <t>Chukwu Maryqueen Funmilayo</t>
  </si>
  <si>
    <t>West</t>
  </si>
  <si>
    <t>Ondo</t>
  </si>
  <si>
    <t>ogbeidefrancis</t>
  </si>
  <si>
    <t>BISIRIYU YUSUF ADENIYI</t>
  </si>
  <si>
    <t>Ibekwe ebuka</t>
  </si>
  <si>
    <t>Imo</t>
  </si>
  <si>
    <t>Ogwuagba Chinomso Peace</t>
  </si>
  <si>
    <t>ibevictus</t>
  </si>
  <si>
    <t>Emmanuel Dominion</t>
  </si>
  <si>
    <t>ujohlight</t>
  </si>
  <si>
    <t>Ajewole Shade</t>
  </si>
  <si>
    <t>Kaduna</t>
  </si>
  <si>
    <t>SANI.A HABIBAT</t>
  </si>
  <si>
    <t>Dogara Tanko</t>
  </si>
  <si>
    <t>Oseni Sanusi</t>
  </si>
  <si>
    <t>JOSEPH MOSES WAJE</t>
  </si>
  <si>
    <t>Azubuike Christopher Chidiebere</t>
  </si>
  <si>
    <t>CHRISTIANA SIMISOLA ADELUSI</t>
  </si>
  <si>
    <t>Abdul Oladimeji .O.</t>
  </si>
  <si>
    <t>Kwara</t>
  </si>
  <si>
    <t>MASHOOD ABDULKAREEMM</t>
  </si>
  <si>
    <t>HARUNA AGBONIKA</t>
  </si>
  <si>
    <t>Kogi</t>
  </si>
  <si>
    <t>Iortyer bishop joseph</t>
  </si>
  <si>
    <t>Mary Augustine</t>
  </si>
  <si>
    <t>Otoikhian Joshua Oziegbe</t>
  </si>
  <si>
    <t>Nwokedi Emmanuel Chinonso</t>
  </si>
  <si>
    <t>Chime Sharon Chinaza</t>
  </si>
  <si>
    <t>Adomokhai Batholomew</t>
  </si>
  <si>
    <t>Ilenowa Julius Owvie</t>
  </si>
  <si>
    <t>itua Godwin Okojie</t>
  </si>
  <si>
    <t>Aguinede Frederick</t>
  </si>
  <si>
    <t>Kilani Rasaki Oluwaseun</t>
  </si>
  <si>
    <t>Oyo</t>
  </si>
  <si>
    <t>OZAH RITA NKEMDILIM</t>
  </si>
  <si>
    <t>Ezekiel C Ntumaka</t>
  </si>
  <si>
    <t>Agbor Moses</t>
  </si>
  <si>
    <t>Mustapha Ahmad</t>
  </si>
  <si>
    <t>Anthony Achor</t>
  </si>
  <si>
    <t>OKANYA ABRAHAM OIBE</t>
  </si>
  <si>
    <t>Ishaku Simon</t>
  </si>
  <si>
    <t>North East</t>
  </si>
  <si>
    <t>Borno</t>
  </si>
  <si>
    <t>Nafiu Sani Ibrahim</t>
  </si>
  <si>
    <t>Gabriel Kate Adeola</t>
  </si>
  <si>
    <t>Simon Clement Achu</t>
  </si>
  <si>
    <t>Taraba</t>
  </si>
  <si>
    <t>RASHIDA SHITTU</t>
  </si>
  <si>
    <t>Abubakar Usman Yahaya</t>
  </si>
  <si>
    <t>IBRAHIM ANIBE SUNDAY WISDOM</t>
  </si>
  <si>
    <t>SHITTU OLUWATOBI BLESSING</t>
  </si>
  <si>
    <t>USMAN ENOCH</t>
  </si>
  <si>
    <t>Lagos-c</t>
  </si>
  <si>
    <t>STEPHEN EGBE</t>
  </si>
  <si>
    <t>ESTHER ENE AGBO</t>
  </si>
  <si>
    <t>Okonkwo Chibuzor Glory</t>
  </si>
  <si>
    <t>Lagos-3</t>
  </si>
  <si>
    <t>Ibekwe Chinonye Sabinus</t>
  </si>
  <si>
    <t>VINCENT DANIEL UBONG</t>
  </si>
  <si>
    <t>STEPHEN JEREMIAH AKAMS</t>
  </si>
  <si>
    <t>VIVIAN OGOCHUKWU UBOGU</t>
  </si>
  <si>
    <t>UCHE EMMANUEL</t>
  </si>
  <si>
    <t>Chinyere Kingsley</t>
  </si>
  <si>
    <t>Eze Valentine Obiora</t>
  </si>
  <si>
    <t>Damilola Afuwape</t>
  </si>
  <si>
    <t>Gasali Sodeek Waheed</t>
  </si>
  <si>
    <t>Kehinde Oyetona</t>
  </si>
  <si>
    <t>Oyewale Taibat</t>
  </si>
  <si>
    <t>Odunsi Abiodun</t>
  </si>
  <si>
    <t>Ogun</t>
  </si>
  <si>
    <t>abrahamoluwasegun</t>
  </si>
  <si>
    <t>odebowaleolajide</t>
  </si>
  <si>
    <t>sadiqabimbola</t>
  </si>
  <si>
    <t>kolawolezacchaeus</t>
  </si>
  <si>
    <t>ADELAKUN ADEYEMI</t>
  </si>
  <si>
    <t>ADEGOKE ADEYINKA</t>
  </si>
  <si>
    <t>ADEWUMI OLAYINKA</t>
  </si>
  <si>
    <t>Oyedeji Olumide Samuel</t>
  </si>
  <si>
    <t>Jolly Okooza</t>
  </si>
  <si>
    <t>anthonyakleche</t>
  </si>
  <si>
    <t>adetipeomotunde</t>
  </si>
  <si>
    <t>kareemtobiloba</t>
  </si>
  <si>
    <t>Onah Comfort Okpeje</t>
  </si>
  <si>
    <t>TAJU BALOGUN</t>
  </si>
  <si>
    <t>OLUMIDE ALABI PETER</t>
  </si>
  <si>
    <t>Dovie Aboyeiwari Green</t>
  </si>
  <si>
    <t>Rivers</t>
  </si>
  <si>
    <t>chukwudiugbaja</t>
  </si>
  <si>
    <t>ALIU FOLUKE ADORATION</t>
  </si>
  <si>
    <t>osujiperpetual</t>
  </si>
  <si>
    <t>Okwara Oluchi Favour</t>
  </si>
  <si>
    <t>Oxford Ochi</t>
  </si>
  <si>
    <t>adeyemidavid</t>
  </si>
  <si>
    <t>Okokon, Abasi-Ama Edet</t>
  </si>
  <si>
    <t>Akwa Ibom</t>
  </si>
  <si>
    <t>Idaraobong Utip</t>
  </si>
  <si>
    <t>Akpan, Ekereobong Jerry</t>
  </si>
  <si>
    <t>Ntemba Paul Awaji-Ikachilom</t>
  </si>
  <si>
    <t>Daniel Akoh</t>
  </si>
  <si>
    <t>Joseph Ohonwa</t>
  </si>
  <si>
    <t>Gladness Michael</t>
  </si>
  <si>
    <t>Abua Patrick Atoshi</t>
  </si>
  <si>
    <t>Benue</t>
  </si>
  <si>
    <t>Abena Peter Emmanuel</t>
  </si>
  <si>
    <t>Abah Gift Alechenu</t>
  </si>
  <si>
    <t>Adama Eneojo Roland</t>
  </si>
  <si>
    <t>ANCHAVER GABRIEL</t>
  </si>
  <si>
    <t>ADENIYI AYOMIPOSI OLUWABAMISE</t>
  </si>
  <si>
    <t>AKANBI TEMITOPE</t>
  </si>
  <si>
    <t>ARANJU PETER OPEOLUWA</t>
  </si>
  <si>
    <t>Tope Akinyelure</t>
  </si>
  <si>
    <t>Oluwakemi Aduloju</t>
  </si>
  <si>
    <t>Lagos-A</t>
  </si>
  <si>
    <t>Ojo Oluwamodupe</t>
  </si>
  <si>
    <t>Kolawole david</t>
  </si>
  <si>
    <t>Okaili Ese Josephine</t>
  </si>
  <si>
    <t>Amos David B</t>
  </si>
  <si>
    <t>Oluwaseun Oluwatosin Olaonipekun</t>
  </si>
  <si>
    <t>Savage Toyin Elizabeth</t>
  </si>
  <si>
    <t>Oyeweso Opeyemi Adepeju</t>
  </si>
  <si>
    <t>AJIBAYE GAZALI BABATUNDE</t>
  </si>
  <si>
    <t>Lagos-1</t>
  </si>
  <si>
    <t>Odubola Odudimu</t>
  </si>
  <si>
    <t>Adepoju Gabriel Taiwo</t>
  </si>
  <si>
    <t>ADETOYESE PAUL ADEYEMI</t>
  </si>
  <si>
    <t>Egberongbe Rebecca</t>
  </si>
  <si>
    <t>Lagos-4</t>
  </si>
  <si>
    <t>Bako Ortyom Gabriel</t>
  </si>
  <si>
    <t>Oluwasegun Kadejo</t>
  </si>
  <si>
    <t>Lagos-2</t>
  </si>
  <si>
    <t>Abiodun Ezekiel oke</t>
  </si>
  <si>
    <t>Akinleye Akinjide</t>
  </si>
  <si>
    <t>Uyoyou Akihomhen</t>
  </si>
  <si>
    <t>Kingsley Ijitola</t>
  </si>
  <si>
    <t>Saka Dagbeyon</t>
  </si>
  <si>
    <t>FOLORUNSHO OLORUNFEMI TIMOTHY</t>
  </si>
  <si>
    <t>SHONUBI AYOMIDE SERAH</t>
  </si>
  <si>
    <t>Okougbo Dorcas Tosin</t>
  </si>
  <si>
    <t>Ayuba Grace Alheri</t>
  </si>
  <si>
    <t>wusky rotshak kopnungah</t>
  </si>
  <si>
    <t>Ajayi Oladunni Christiana</t>
  </si>
  <si>
    <t>Taiwo Oluwagbemiga Odutayo</t>
  </si>
  <si>
    <t>Nzeanusi Divine Chinemerem</t>
  </si>
  <si>
    <t>Victor Marvellous</t>
  </si>
  <si>
    <t>Ugwuanyi Kingsley Ifeanyi</t>
  </si>
  <si>
    <t>Lagos-6</t>
  </si>
  <si>
    <t>Alade Damilola Esther</t>
  </si>
  <si>
    <t>Olaniran Philip</t>
  </si>
  <si>
    <t>John Famuyiwa</t>
  </si>
  <si>
    <t>Raji Kudirat Oluwatimileyin</t>
  </si>
  <si>
    <t>Ekeinde Joshua Abiodun</t>
  </si>
  <si>
    <t>Otunuga Wasiu Olalekan</t>
  </si>
  <si>
    <t>Shaji Oloruntobi Olorunleke</t>
  </si>
  <si>
    <t>Abdulrazak Abdulhakeem</t>
  </si>
  <si>
    <t>Owoyale Mariam Funmilayo</t>
  </si>
  <si>
    <t>AMINA MUHAMMED</t>
  </si>
  <si>
    <t>IMODU OLUWAFUNMIKE ADEWUNMI</t>
  </si>
  <si>
    <t>ISAAC JOSEPH PUKUMA</t>
  </si>
  <si>
    <t>Bauchi</t>
  </si>
  <si>
    <t>AJAKAYE OLUSOLA EMMANUEL</t>
  </si>
  <si>
    <t>Echefu Chibueze Chris</t>
  </si>
  <si>
    <t>Gombe</t>
  </si>
  <si>
    <t>Ismail Abdullateef</t>
  </si>
  <si>
    <t>Amina Gazali</t>
  </si>
  <si>
    <t>Olaleye Majeed Kayode</t>
  </si>
  <si>
    <t>Lukman Iliyasu</t>
  </si>
  <si>
    <t>Akin Danladi Garnwa</t>
  </si>
  <si>
    <t>Abdullahi Adamu</t>
  </si>
  <si>
    <t>Rimamtanung Haruna Urum</t>
  </si>
  <si>
    <t>Adamu Saidu</t>
  </si>
  <si>
    <t>Lawrence Gwazah Patrick</t>
  </si>
  <si>
    <t>Plateau</t>
  </si>
  <si>
    <t>AYENI ANTHONY OLUSHOLA</t>
  </si>
  <si>
    <t>KABIR MUHAMMAD IBRAHIM</t>
  </si>
  <si>
    <t>Naziru Bello</t>
  </si>
  <si>
    <t>Sokoto</t>
  </si>
  <si>
    <t>Yakub Bashar Abdulazeez</t>
  </si>
  <si>
    <t>MUHAMMAD KABIR MUHAMMAD</t>
  </si>
  <si>
    <t>ISMAIL IBRAHIM BADAMASI</t>
  </si>
  <si>
    <t>OPARAH EMMANUEL</t>
  </si>
  <si>
    <t>JOSHUA VINA</t>
  </si>
  <si>
    <t>Adamawa</t>
  </si>
  <si>
    <t>DAFFA NANRE VONGJEN</t>
  </si>
  <si>
    <t>Adeyele Kemi Bola</t>
  </si>
  <si>
    <t>Mukhtar Adamu</t>
  </si>
  <si>
    <t>Ibrahim Majeed Onitola</t>
  </si>
  <si>
    <t>Bulus Musa</t>
  </si>
  <si>
    <t>Muhammed Musa Adinoyi</t>
  </si>
  <si>
    <t>Ali Modu Maina</t>
  </si>
  <si>
    <t>Anthony Chinda</t>
  </si>
  <si>
    <t>Timnah David</t>
  </si>
  <si>
    <t>Muhammed Bunu</t>
  </si>
  <si>
    <t>Oladipo Sodiq Onitola</t>
  </si>
  <si>
    <t>Iliyasu Hamid</t>
  </si>
  <si>
    <t>Alilu idris</t>
  </si>
  <si>
    <t>Alhassan Zainab</t>
  </si>
  <si>
    <t>Jubril Yusuf Danjuma</t>
  </si>
  <si>
    <t>Lukman Aliyu Abdullahi</t>
  </si>
  <si>
    <t>IKECHUKWU KENNETH</t>
  </si>
  <si>
    <t>Ofozoba Esther onyinye</t>
  </si>
  <si>
    <t>amosudochi</t>
  </si>
  <si>
    <t>ADEAGBO TOBILOBA DAVID</t>
  </si>
  <si>
    <t>Akande Kola Emmanuel</t>
  </si>
  <si>
    <t>Abdulazeez Munirat Oyiza</t>
  </si>
  <si>
    <t>Audu Rabi Oyiza</t>
  </si>
  <si>
    <t>Abbas Khamisu</t>
  </si>
  <si>
    <t>Nimat yusuf</t>
  </si>
  <si>
    <t>USMAN MUHAMMED</t>
  </si>
  <si>
    <t>Temim Bashir Olarewaju</t>
  </si>
  <si>
    <t>Abdulqudus Olayinka Mashood</t>
  </si>
  <si>
    <t>Audu Daniel Jamiu</t>
  </si>
  <si>
    <t>Ogunlade David Sunday</t>
  </si>
  <si>
    <t>Nengak Yunana</t>
  </si>
  <si>
    <t>Azu Joy Chinanu</t>
  </si>
  <si>
    <t>Wahanu Jonathan Ayuba</t>
  </si>
  <si>
    <t>Najim Kasim Ibrahim</t>
  </si>
  <si>
    <t>Yusuf Prince Abubakar</t>
  </si>
  <si>
    <t>Abednego Joseph</t>
  </si>
  <si>
    <t>abdullahi Musa Yaro</t>
  </si>
  <si>
    <t>Sani Ismaila Smart</t>
  </si>
  <si>
    <t>OLUTIMILEHIN SEGUN IBITEYE</t>
  </si>
  <si>
    <t>Shedrack Joseph</t>
  </si>
  <si>
    <t>Adewumi Nathaniel Rotimi</t>
  </si>
  <si>
    <t>BILaL AWALU</t>
  </si>
  <si>
    <t>Ishaq Salisu Dabo</t>
  </si>
  <si>
    <t>Abdulazeez abdulganiyu</t>
  </si>
  <si>
    <t>Umar Yakubu Mustapha</t>
  </si>
  <si>
    <t>ABUBAKAR AHMAD ABUBAKAR</t>
  </si>
  <si>
    <t>Ashafa Umar Musa</t>
  </si>
  <si>
    <t>MUHAMMAD ARDO AHMED</t>
  </si>
  <si>
    <t>Blessing Alawode</t>
  </si>
  <si>
    <t>Toyyib Abdulfatah</t>
  </si>
  <si>
    <t>Adebisi Damilare</t>
  </si>
  <si>
    <t>Hamisu Idris Bahago</t>
  </si>
  <si>
    <t>AMINU UMAR BAGGU</t>
  </si>
  <si>
    <t>JABIR ABUBAKAR</t>
  </si>
  <si>
    <t>Elihah Daniel Chukwunonso</t>
  </si>
  <si>
    <t>Enugu</t>
  </si>
  <si>
    <t>Ogoke Clinton</t>
  </si>
  <si>
    <t>Innocent Maduakonam</t>
  </si>
  <si>
    <t>Onyema Chioma</t>
  </si>
  <si>
    <t>Chukwuralu Sylvia Chukwudumebi</t>
  </si>
  <si>
    <t>UPAN CRISTABEL UTANDE</t>
  </si>
  <si>
    <t>Ejike Favour Ngozika</t>
  </si>
  <si>
    <t>Moses Ikechukwu Iloh</t>
  </si>
  <si>
    <t>Igboko Ogechi Nkemakolam</t>
  </si>
  <si>
    <t>Uzochukwu Promise Chukwuebuka</t>
  </si>
  <si>
    <t>Wisdom Ndukwu</t>
  </si>
  <si>
    <t>Augustine Amahotu</t>
  </si>
  <si>
    <t>chimakingsley</t>
  </si>
  <si>
    <t>Ogbonna felix chinwendu</t>
  </si>
  <si>
    <t>Momoh Mary Abooluwa</t>
  </si>
  <si>
    <t>odohuzoma</t>
  </si>
  <si>
    <t>Yvette Ogonna Chukwunyere</t>
  </si>
  <si>
    <t>IKPE DANIEL CHINEDU</t>
  </si>
  <si>
    <t>Benedict Chiemerie Joshua</t>
  </si>
  <si>
    <t>Amoair linda Doobee</t>
  </si>
  <si>
    <t>Ndukwe prince agu</t>
  </si>
  <si>
    <t>Chinedu Victor Uche</t>
  </si>
  <si>
    <t>OFFIA-UDONSI MARTIN UDONSI</t>
  </si>
  <si>
    <t>Gabriel Oriri</t>
  </si>
  <si>
    <t>JOHNPAUL ABONYI</t>
  </si>
  <si>
    <t>ORIEKE CHUKWUEMEKA KALU</t>
  </si>
  <si>
    <t>Eziagwu Chukwuji</t>
  </si>
  <si>
    <t>Ebonyi</t>
  </si>
  <si>
    <t>Ibeabuchi Nnaemeka</t>
  </si>
  <si>
    <t>Eunice Igben Ejiro</t>
  </si>
  <si>
    <t>Koate Barivure</t>
  </si>
  <si>
    <t>Nsikan Enobong Edoho</t>
  </si>
  <si>
    <t>Emmanuel Okon Akpaso</t>
  </si>
  <si>
    <t>PEACE AGEDE ADIE</t>
  </si>
  <si>
    <t>Ruth Edima Uweh</t>
  </si>
  <si>
    <t>Catherine Anwanakak</t>
  </si>
  <si>
    <t>Karimatu Kasim</t>
  </si>
  <si>
    <t>Nwafor Christiana</t>
  </si>
  <si>
    <t>Akeredolu Oluwafunke</t>
  </si>
  <si>
    <t>Michael Bethel Olufunmilayo</t>
  </si>
  <si>
    <t>Anyaegbunam Emmanuel Chukwuwetalu</t>
  </si>
  <si>
    <t>David Fidelia Onyinye</t>
  </si>
  <si>
    <t>Aju Esther Ogochukwu</t>
  </si>
  <si>
    <t>Ofoegbu Perpetua Chidera</t>
  </si>
  <si>
    <t>Osuolo Evans Kofi</t>
  </si>
  <si>
    <t>Okoji Kelechi Jemimah</t>
  </si>
  <si>
    <t>Unyime Young Matthew</t>
  </si>
  <si>
    <t>Nmezi Prince Chinemerem</t>
  </si>
  <si>
    <t>UGORJI FAITH CHIJENDU</t>
  </si>
  <si>
    <t>CHINEDU OMAMII</t>
  </si>
  <si>
    <t>ARAGA AGOM</t>
  </si>
  <si>
    <t>ODEY MOSES</t>
  </si>
  <si>
    <t>Philip Ukahi Onaah</t>
  </si>
  <si>
    <t>AZEEZ AJIBOLA SAKIRUDEEN</t>
  </si>
  <si>
    <t>Osun</t>
  </si>
  <si>
    <t>Arasi Quadry Abiodun</t>
  </si>
  <si>
    <t>FALAJIKI AYOBAMI URIEL</t>
  </si>
  <si>
    <t>Atamba Onyinyechi Anthonia</t>
  </si>
  <si>
    <t>Henry Joseph</t>
  </si>
  <si>
    <t>Onyegbosi Mirian Oluoma</t>
  </si>
  <si>
    <t>Okegbuna Johnbosco Tochukwu</t>
  </si>
  <si>
    <t>Ifejiofor Blessing</t>
  </si>
  <si>
    <t>Ogbonna Amarachi Glory</t>
  </si>
  <si>
    <t>Anyanwu Chris Adibe</t>
  </si>
  <si>
    <t>AHMED IMAM ADAM</t>
  </si>
  <si>
    <t>Okunola Oladeji Samuel</t>
  </si>
  <si>
    <t>Oyekunle Taiwo Adesola</t>
  </si>
  <si>
    <t>Adetona Seun Abiola</t>
  </si>
  <si>
    <t>ADEKUNLE MONSURAT</t>
  </si>
  <si>
    <t>Omonijo Adejumoke Janet</t>
  </si>
  <si>
    <t>Akinjiyan Olalekan Olawale</t>
  </si>
  <si>
    <t>OLASUPO RAMAT ABOLADE</t>
  </si>
  <si>
    <t>Isiolaotan Oyewole Michael</t>
  </si>
  <si>
    <t>AYODELE OLUBUNMI CLEMENT</t>
  </si>
  <si>
    <t>OLADELE ALIU SEYI</t>
  </si>
  <si>
    <t>Soyinka Olusegun Michael</t>
  </si>
  <si>
    <t>Fetuga Damilola Omoyemi</t>
  </si>
  <si>
    <t>Godwin Regina Nsima</t>
  </si>
  <si>
    <t>CHARLES VICTORIA</t>
  </si>
  <si>
    <t>Gwunawaji Rhoda Ogoronte</t>
  </si>
  <si>
    <t>Olofe Temidayo Emmanuel</t>
  </si>
  <si>
    <t>Oke Olubunmi Francis</t>
  </si>
  <si>
    <t>Grand Total</t>
  </si>
  <si>
    <t>Sum of Qualified aggr this month</t>
  </si>
  <si>
    <t>Sum of qualified aggr last Month</t>
  </si>
  <si>
    <t>Sum of 本月净增
Increase</t>
  </si>
  <si>
    <t>Rank</t>
  </si>
  <si>
    <t>Sum of Rank</t>
  </si>
  <si>
    <t>Count of AM Code</t>
  </si>
  <si>
    <t>AM NAME</t>
  </si>
  <si>
    <t>Qualified CDL this Month</t>
  </si>
  <si>
    <t>Qualified CDL last Month</t>
  </si>
  <si>
    <t>Increase</t>
  </si>
  <si>
    <t>TIMOTHY FRIDAY</t>
  </si>
  <si>
    <t>Elekwa Chinyere Becky</t>
  </si>
  <si>
    <t>Johnson Onyebuchi O</t>
  </si>
  <si>
    <t>UDEZE CHIDIMMA</t>
  </si>
  <si>
    <t>JOSEPH GLORY OCHANYA</t>
  </si>
  <si>
    <t>CHIAZOR OGECHUKWU ACHUKWU</t>
  </si>
  <si>
    <t>NWOKE GODDIAN SYLVESTER</t>
  </si>
  <si>
    <t>EMMANUEL OGECHUKWU</t>
  </si>
  <si>
    <t>OKAFOR CHIDERA OBINNA</t>
  </si>
  <si>
    <t>EDEH UCHECHI MARYSANDRA</t>
  </si>
  <si>
    <t>NWONU TOCHUKWU</t>
  </si>
  <si>
    <t>EZEH GRACE</t>
  </si>
  <si>
    <t>GUGU RITA CAROLINE</t>
  </si>
  <si>
    <t>OPARA CHIMIEZE JESSICA</t>
  </si>
  <si>
    <t>EDOGUN FLORENCE</t>
  </si>
  <si>
    <t>IGBO PRISCILLA NKECHINYERE</t>
  </si>
  <si>
    <t>Nwanmuo Gideon Obumneke</t>
  </si>
  <si>
    <t>OJEPA JOSEPH SIMON</t>
  </si>
  <si>
    <t>Egu Edith Nnenna</t>
  </si>
  <si>
    <t>Orji Adaolisa Priscilia</t>
  </si>
  <si>
    <t>Joshua Dominion Brown</t>
  </si>
  <si>
    <t>BRASIN PHILIP RAPHAEL</t>
  </si>
  <si>
    <t>NTOR ISAAC MARTINS</t>
  </si>
  <si>
    <t>COVENANT NKEREUWEM UDOMINYANG</t>
  </si>
  <si>
    <t>WOBASE EKO</t>
  </si>
  <si>
    <t>MATTHEW FELIX EKPO</t>
  </si>
  <si>
    <t>EMMANUEL EDET OKON</t>
  </si>
  <si>
    <t>ABDULFATAI AKINKUNMI ABIODUN</t>
  </si>
  <si>
    <t>Ndukanma Onyedikachi</t>
  </si>
  <si>
    <t>Ogbo Chibuike Magnus</t>
  </si>
  <si>
    <t>OBIDELE AFEEZ OJO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</si>
</sst>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0"/>
      <color rgb="FF000000"/>
      <name val="Aptos Narrow"/>
      <family val="2"/>
      <scheme val="minor"/>
    </font>
    <font>
      <b/>
      <sz val="10"/>
      <color rgb="FFFFFFFF"/>
      <name val="Aptos Narrow"/>
      <family val="2"/>
      <scheme val="minor"/>
    </font>
    <font>
      <sz val="11"/>
      <color rgb="FF000000"/>
      <name val="Aptos Narrow"/>
      <family val="2"/>
      <scheme val="minor"/>
    </font>
    <font>
      <sz val="10"/>
      <color rgb="FF000000"/>
      <name val="Aptos Narrow"/>
      <family val="2"/>
      <scheme val="minor"/>
    </font>
    <font>
      <sz val="10"/>
      <color theme="1"/>
      <name val="Aptos Narrow"/>
      <family val="2"/>
      <scheme val="minor"/>
    </font>
    <font>
      <sz val="10"/>
      <color rgb="FF373C43"/>
      <name val="Aptos Narrow"/>
      <family val="2"/>
      <scheme val="minor"/>
    </font>
  </fonts>
  <fills count="8">
    <fill>
      <patternFill patternType="none"/>
    </fill>
    <fill>
      <patternFill patternType="gray125"/>
    </fill>
    <fill>
      <patternFill patternType="solid">
        <fgColor rgb="FFD2F4F2"/>
        <bgColor indexed="64"/>
      </patternFill>
    </fill>
    <fill>
      <patternFill patternType="solid">
        <fgColor rgb="FFFFC000"/>
        <bgColor indexed="64"/>
      </patternFill>
    </fill>
    <fill>
      <patternFill patternType="solid">
        <fgColor rgb="FF0070C0"/>
        <bgColor indexed="64"/>
      </patternFill>
    </fill>
    <fill>
      <patternFill patternType="solid">
        <fgColor rgb="FFCACDD9"/>
        <bgColor indexed="64"/>
      </patternFill>
    </fill>
    <fill>
      <patternFill patternType="solid">
        <fgColor rgb="FF1BCF9F"/>
        <bgColor indexed="64"/>
      </patternFill>
    </fill>
    <fill>
      <patternFill patternType="solid">
        <fgColor rgb="FF002060"/>
        <bgColor indexed="64"/>
      </patternFill>
    </fill>
  </fills>
  <borders count="8">
    <border>
      <left/>
      <right/>
      <top/>
      <bottom/>
      <diagonal/>
    </border>
    <border>
      <left style="thin">
        <color rgb="FFDEE0E3"/>
      </left>
      <right style="thin">
        <color rgb="FFDEE0E3"/>
      </right>
      <top style="thin">
        <color rgb="FFDEE0E3"/>
      </top>
      <bottom style="thin">
        <color rgb="FFDEE0E3"/>
      </bottom>
      <diagonal/>
    </border>
    <border>
      <left style="thin">
        <color rgb="FF1F2329"/>
      </left>
      <right style="thin">
        <color rgb="FFDEE0E3"/>
      </right>
      <top style="thin">
        <color rgb="FF1F2329"/>
      </top>
      <bottom style="thin">
        <color rgb="FFDEE0E3"/>
      </bottom>
      <diagonal/>
    </border>
    <border>
      <left style="thin">
        <color rgb="FFDEE0E3"/>
      </left>
      <right style="thin">
        <color rgb="FFDEE0E3"/>
      </right>
      <top style="thin">
        <color rgb="FF1F2329"/>
      </top>
      <bottom style="thin">
        <color rgb="FFDEE0E3"/>
      </bottom>
      <diagonal/>
    </border>
    <border>
      <left style="thin">
        <color rgb="FFDEE0E3"/>
      </left>
      <right style="thin">
        <color rgb="FF1F2329"/>
      </right>
      <top style="thin">
        <color rgb="FF1F2329"/>
      </top>
      <bottom style="thin">
        <color rgb="FFDEE0E3"/>
      </bottom>
      <diagonal/>
    </border>
    <border>
      <left style="thin">
        <color rgb="FFDEE0E3"/>
      </left>
      <right style="thin">
        <color rgb="FF1F2329"/>
      </right>
      <top style="thin">
        <color rgb="FFDEE0E3"/>
      </top>
      <bottom style="thin">
        <color rgb="FFDEE0E3"/>
      </bottom>
      <diagonal/>
    </border>
    <border>
      <left style="thin">
        <color rgb="FF1F2329"/>
      </left>
      <right style="thin">
        <color rgb="FFDEE0E3"/>
      </right>
      <top style="thin">
        <color rgb="FFDEE0E3"/>
      </top>
      <bottom style="thin">
        <color rgb="FFDEE0E3"/>
      </bottom>
      <diagonal/>
    </border>
    <border>
      <left/>
      <right style="thin">
        <color rgb="FFDEE0E3"/>
      </right>
      <top style="thin">
        <color rgb="FFDEE0E3"/>
      </top>
      <bottom style="thin">
        <color rgb="FFDEE0E3"/>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5"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horizontal="center" vertical="center"/>
    </xf>
    <xf numFmtId="3" fontId="6" fillId="0" borderId="6" xfId="0" applyNumberFormat="1" applyFont="1" applyBorder="1" applyAlignment="1">
      <alignment vertical="center"/>
    </xf>
    <xf numFmtId="0" fontId="7" fillId="0" borderId="1" xfId="0" applyFont="1" applyBorder="1" applyAlignment="1">
      <alignment vertical="center"/>
    </xf>
    <xf numFmtId="0" fontId="7" fillId="0" borderId="5" xfId="0" applyFont="1" applyBorder="1" applyAlignment="1">
      <alignment horizontal="center" vertical="center"/>
    </xf>
    <xf numFmtId="9" fontId="8" fillId="0" borderId="5" xfId="0" applyNumberFormat="1" applyFont="1" applyBorder="1" applyAlignment="1">
      <alignment horizontal="center" vertical="center"/>
    </xf>
    <xf numFmtId="3" fontId="8" fillId="0" borderId="5" xfId="0" applyNumberFormat="1" applyFont="1" applyBorder="1" applyAlignment="1">
      <alignment horizontal="center" vertical="center"/>
    </xf>
    <xf numFmtId="0" fontId="8" fillId="0" borderId="5" xfId="0" applyFont="1" applyBorder="1" applyAlignment="1">
      <alignment horizontal="center" vertical="center"/>
    </xf>
    <xf numFmtId="0" fontId="6" fillId="0" borderId="6" xfId="0" applyFont="1" applyBorder="1" applyAlignment="1">
      <alignment vertical="center"/>
    </xf>
    <xf numFmtId="0" fontId="7" fillId="0" borderId="1" xfId="0" applyFont="1" applyBorder="1" applyAlignment="1">
      <alignment horizontal="left" vertical="center"/>
    </xf>
    <xf numFmtId="0" fontId="0" fillId="0" borderId="0" xfId="0" pivotButton="1"/>
    <xf numFmtId="0" fontId="2" fillId="0" borderId="0" xfId="0" applyFont="1"/>
    <xf numFmtId="0" fontId="4" fillId="4" borderId="0" xfId="0" applyFont="1" applyFill="1" applyAlignment="1">
      <alignment horizontal="center" vertical="center"/>
    </xf>
    <xf numFmtId="0" fontId="3" fillId="2" borderId="7" xfId="0" applyFont="1" applyFill="1" applyBorder="1" applyAlignment="1">
      <alignment horizontal="center" vertical="center"/>
    </xf>
    <xf numFmtId="0" fontId="5" fillId="0" borderId="7" xfId="0" applyFont="1" applyBorder="1" applyAlignment="1">
      <alignment vertical="center"/>
    </xf>
    <xf numFmtId="0" fontId="7" fillId="0" borderId="7" xfId="0" applyFont="1" applyBorder="1" applyAlignment="1">
      <alignment vertical="center"/>
    </xf>
    <xf numFmtId="0" fontId="0" fillId="5" borderId="0" xfId="0" applyFill="1"/>
    <xf numFmtId="0" fontId="2" fillId="6" borderId="0" xfId="0" applyFont="1" applyFill="1"/>
    <xf numFmtId="0" fontId="1" fillId="7" borderId="0" xfId="0" applyFont="1" applyFill="1"/>
    <xf numFmtId="0" fontId="0" fillId="0" borderId="0" xfId="0" applyNumberFormat="1"/>
  </cellXfs>
  <cellStyles count="1">
    <cellStyle name="Normal" xfId="0" builtinId="0"/>
  </cellStyles>
  <dxfs count="25">
    <dxf>
      <numFmt numFmtId="0" formatCode="General"/>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rgb="FF373C43"/>
        <name val="Aptos Narrow"/>
        <family val="2"/>
        <scheme val="minor"/>
      </font>
      <numFmt numFmtId="3" formatCode="#,##0"/>
      <alignment horizontal="center" vertical="center" textRotation="0" wrapText="0" indent="0" justifyLastLine="0" shrinkToFit="0" readingOrder="0"/>
      <border diagonalUp="0" diagonalDown="0">
        <left style="thin">
          <color rgb="FFDEE0E3"/>
        </left>
        <right style="thin">
          <color rgb="FF1F2329"/>
        </right>
        <top style="thin">
          <color rgb="FFDEE0E3"/>
        </top>
        <bottom style="thin">
          <color rgb="FFDEE0E3"/>
        </bottom>
        <vertical/>
        <horizontal/>
      </border>
    </dxf>
    <dxf>
      <font>
        <b val="0"/>
        <i val="0"/>
        <strike val="0"/>
        <condense val="0"/>
        <extend val="0"/>
        <outline val="0"/>
        <shadow val="0"/>
        <u val="none"/>
        <vertAlign val="baseline"/>
        <sz val="10"/>
        <color rgb="FF373C43"/>
        <name val="Aptos Narrow"/>
        <family val="2"/>
        <scheme val="minor"/>
      </font>
      <numFmt numFmtId="13" formatCode="0%"/>
      <alignment horizontal="center" vertical="center" textRotation="0" wrapText="0" indent="0" justifyLastLine="0" shrinkToFit="0" readingOrder="0"/>
      <border diagonalUp="0" diagonalDown="0">
        <left style="thin">
          <color rgb="FFDEE0E3"/>
        </left>
        <right style="thin">
          <color rgb="FF1F2329"/>
        </right>
        <top style="thin">
          <color rgb="FFDEE0E3"/>
        </top>
        <bottom style="thin">
          <color rgb="FFDEE0E3"/>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rgb="FFDEE0E3"/>
        </left>
        <right style="thin">
          <color rgb="FF1F2329"/>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rgb="FF000000"/>
        <name val="Aptos Narrow"/>
        <family val="2"/>
        <scheme val="minor"/>
      </font>
      <numFmt numFmtId="3" formatCode="#,##0"/>
      <alignment horizontal="general" vertical="center" textRotation="0" wrapText="0" indent="0" justifyLastLine="0" shrinkToFit="0" readingOrder="0"/>
      <border diagonalUp="0" diagonalDown="0">
        <left style="thin">
          <color rgb="FF1F2329"/>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DEE0E3"/>
        </left>
        <right style="thin">
          <color rgb="FFDEE0E3"/>
        </right>
        <top style="thin">
          <color rgb="FFDEE0E3"/>
        </top>
        <bottom style="thin">
          <color rgb="FFDEE0E3"/>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right style="thin">
          <color rgb="FFDEE0E3"/>
        </right>
        <top style="thin">
          <color rgb="FFDEE0E3"/>
        </top>
        <bottom style="thin">
          <color rgb="FFDEE0E3"/>
        </bottom>
        <vertical/>
        <horizontal/>
      </border>
    </dxf>
    <dxf>
      <border outline="0">
        <left style="thin">
          <color rgb="FFDEE0E3"/>
        </left>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rgb="FFFFFFFF"/>
        <name val="Aptos Narrow"/>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rgb="FFDEE0E3"/>
        </left>
        <right style="thin">
          <color rgb="FFDEE0E3"/>
        </right>
        <top/>
        <bottom/>
      </border>
    </dxf>
    <dxf>
      <font>
        <b/>
        <i val="0"/>
        <sz val="10"/>
        <color theme="0"/>
      </font>
      <fill>
        <patternFill>
          <bgColor rgb="FF5F7096"/>
        </patternFill>
      </fill>
    </dxf>
  </dxfs>
  <tableStyles count="1" defaultTableStyle="TableStyleMedium2" defaultPivotStyle="PivotStyleLight16">
    <tableStyle name="AM SLICERS" pivot="0" table="0" count="4" xr9:uid="{EDD65F2E-CBD9-4B10-9EF7-F5FFCEA5932C}">
      <tableStyleElement type="wholeTable" dxfId="24"/>
    </tableStyle>
  </tableStyles>
  <colors>
    <mruColors>
      <color rgb="FF5F7096"/>
      <color rgb="FF1BCF9F"/>
      <color rgb="FFCACDD9"/>
    </mruColors>
  </colors>
  <extLst>
    <ext xmlns:x14="http://schemas.microsoft.com/office/spreadsheetml/2009/9/main" uri="{46F421CA-312F-682f-3DD2-61675219B42D}">
      <x14:dxfs count="3">
        <dxf>
          <font>
            <b val="0"/>
            <i val="0"/>
            <sz val="10"/>
            <color rgb="FF002060"/>
          </font>
          <fill>
            <patternFill>
              <bgColor theme="0"/>
            </patternFill>
          </fill>
          <border diagonalUp="0" diagonalDown="0">
            <left/>
            <right/>
            <top/>
            <bottom/>
            <vertical/>
            <horizontal/>
          </border>
        </dxf>
        <dxf>
          <font>
            <b val="0"/>
            <i val="0"/>
            <sz val="10"/>
            <color rgb="FF002060"/>
          </font>
          <fill>
            <patternFill>
              <bgColor rgb="FF1BCF9F"/>
            </patternFill>
          </fill>
          <border diagonalUp="0" diagonalDown="0">
            <left/>
            <right/>
            <top/>
            <bottom/>
            <vertical/>
            <horizontal/>
          </border>
        </dxf>
        <dxf>
          <font>
            <color rgb="FF002060"/>
          </font>
          <fill>
            <patternFill>
              <bgColor rgb="FF1BCF9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M SLICERS">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34018</xdr:rowOff>
    </xdr:from>
    <xdr:to>
      <xdr:col>13</xdr:col>
      <xdr:colOff>355146</xdr:colOff>
      <xdr:row>30</xdr:row>
      <xdr:rowOff>34018</xdr:rowOff>
    </xdr:to>
    <xdr:grpSp>
      <xdr:nvGrpSpPr>
        <xdr:cNvPr id="2" name="Group 1">
          <a:extLst>
            <a:ext uri="{FF2B5EF4-FFF2-40B4-BE49-F238E27FC236}">
              <a16:creationId xmlns:a16="http://schemas.microsoft.com/office/drawing/2014/main" id="{B586A6AC-C020-0996-785A-24B5315E29EE}"/>
            </a:ext>
          </a:extLst>
        </xdr:cNvPr>
        <xdr:cNvGrpSpPr/>
      </xdr:nvGrpSpPr>
      <xdr:grpSpPr>
        <a:xfrm>
          <a:off x="0" y="34018"/>
          <a:ext cx="15208624" cy="5797826"/>
          <a:chOff x="0" y="34018"/>
          <a:chExt cx="15338704" cy="5861538"/>
        </a:xfrm>
      </xdr:grpSpPr>
      <xdr:sp macro="" textlink="">
        <xdr:nvSpPr>
          <xdr:cNvPr id="5" name="Rectangle: Rounded Corners 4">
            <a:extLst>
              <a:ext uri="{FF2B5EF4-FFF2-40B4-BE49-F238E27FC236}">
                <a16:creationId xmlns:a16="http://schemas.microsoft.com/office/drawing/2014/main" id="{CC2AC34D-AB00-3675-A91B-A0A3F1F2796E}"/>
              </a:ext>
            </a:extLst>
          </xdr:cNvPr>
          <xdr:cNvSpPr/>
        </xdr:nvSpPr>
        <xdr:spPr>
          <a:xfrm>
            <a:off x="1448818" y="34018"/>
            <a:ext cx="13591436" cy="1090316"/>
          </a:xfrm>
          <a:prstGeom prst="roundRect">
            <a:avLst>
              <a:gd name="adj" fmla="val 2104"/>
            </a:avLst>
          </a:prstGeom>
          <a:gradFill flip="none" rotWithShape="1">
            <a:gsLst>
              <a:gs pos="0">
                <a:srgbClr val="002060"/>
              </a:gs>
              <a:gs pos="67000">
                <a:srgbClr val="002060">
                  <a:tint val="44500"/>
                  <a:satMod val="160000"/>
                </a:srgbClr>
              </a:gs>
              <a:gs pos="53000">
                <a:srgbClr val="002060">
                  <a:tint val="23500"/>
                  <a:satMod val="160000"/>
                </a:srgbClr>
              </a:gs>
            </a:gsLst>
            <a:path path="circle">
              <a:fillToRect l="100000" t="100000"/>
            </a:path>
            <a:tileRect r="-100000" b="-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 name="Rectangle: Rounded Corners 5">
            <a:extLst>
              <a:ext uri="{FF2B5EF4-FFF2-40B4-BE49-F238E27FC236}">
                <a16:creationId xmlns:a16="http://schemas.microsoft.com/office/drawing/2014/main" id="{396B2DAA-2B5A-400E-9002-3821CBE75F0A}"/>
              </a:ext>
            </a:extLst>
          </xdr:cNvPr>
          <xdr:cNvSpPr/>
        </xdr:nvSpPr>
        <xdr:spPr>
          <a:xfrm>
            <a:off x="22679" y="50348"/>
            <a:ext cx="1336291" cy="5845208"/>
          </a:xfrm>
          <a:prstGeom prst="roundRect">
            <a:avLst>
              <a:gd name="adj" fmla="val 2104"/>
            </a:avLst>
          </a:prstGeom>
          <a:gradFill flip="none" rotWithShape="1">
            <a:gsLst>
              <a:gs pos="10000">
                <a:srgbClr val="002060"/>
              </a:gs>
              <a:gs pos="88000">
                <a:srgbClr val="002060">
                  <a:tint val="44500"/>
                  <a:satMod val="160000"/>
                </a:srgbClr>
              </a:gs>
            </a:gsLst>
            <a:path path="circle">
              <a:fillToRect l="100000" t="100000"/>
            </a:path>
            <a:tileRect r="-100000" b="-10000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sp macro="" textlink="">
        <xdr:nvSpPr>
          <xdr:cNvPr id="7" name="Freeform 2">
            <a:extLst>
              <a:ext uri="{FF2B5EF4-FFF2-40B4-BE49-F238E27FC236}">
                <a16:creationId xmlns:a16="http://schemas.microsoft.com/office/drawing/2014/main" id="{05A7337B-6877-97B1-A35D-88595FFFBAAF}"/>
              </a:ext>
            </a:extLst>
          </xdr:cNvPr>
          <xdr:cNvSpPr/>
        </xdr:nvSpPr>
        <xdr:spPr>
          <a:xfrm>
            <a:off x="170090" y="118384"/>
            <a:ext cx="968321" cy="573214"/>
          </a:xfrm>
          <a:custGeom>
            <a:avLst/>
            <a:gdLst/>
            <a:ahLst/>
            <a:cxnLst/>
            <a:rect l="l" t="t" r="r" b="b"/>
            <a:pathLst>
              <a:path w="4132441" h="2265190">
                <a:moveTo>
                  <a:pt x="0" y="0"/>
                </a:moveTo>
                <a:lnTo>
                  <a:pt x="4132442" y="0"/>
                </a:lnTo>
                <a:lnTo>
                  <a:pt x="4132442" y="2265190"/>
                </a:lnTo>
                <a:lnTo>
                  <a:pt x="0" y="2265190"/>
                </a:lnTo>
                <a:lnTo>
                  <a:pt x="0" y="0"/>
                </a:lnTo>
                <a:close/>
              </a:path>
            </a:pathLst>
          </a:custGeom>
          <a:blipFill>
            <a:blip xmlns:r="http://schemas.openxmlformats.org/officeDocument/2006/relationships" r:embed="rId1"/>
            <a:stretch>
              <a:fillRect/>
            </a:stretch>
          </a:blipFill>
        </xdr:spPr>
        <xdr:txBody>
          <a:bodyPr wrap="square"/>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G"/>
          </a:p>
        </xdr:txBody>
      </xdr:sp>
      <xdr:grpSp>
        <xdr:nvGrpSpPr>
          <xdr:cNvPr id="8" name="Group 7">
            <a:extLst>
              <a:ext uri="{FF2B5EF4-FFF2-40B4-BE49-F238E27FC236}">
                <a16:creationId xmlns:a16="http://schemas.microsoft.com/office/drawing/2014/main" id="{2CD3D1C2-EFE7-818C-A845-BB6F580BD14F}"/>
              </a:ext>
            </a:extLst>
          </xdr:cNvPr>
          <xdr:cNvGrpSpPr/>
        </xdr:nvGrpSpPr>
        <xdr:grpSpPr>
          <a:xfrm>
            <a:off x="6117107" y="206725"/>
            <a:ext cx="8701696" cy="781538"/>
            <a:chOff x="4191059" y="1056808"/>
            <a:chExt cx="7360170" cy="831954"/>
          </a:xfrm>
        </xdr:grpSpPr>
        <xdr:sp macro="" textlink="">
          <xdr:nvSpPr>
            <xdr:cNvPr id="9" name="Rectangle: Rounded Corners 8">
              <a:extLst>
                <a:ext uri="{FF2B5EF4-FFF2-40B4-BE49-F238E27FC236}">
                  <a16:creationId xmlns:a16="http://schemas.microsoft.com/office/drawing/2014/main" id="{3D68B931-FA66-4720-46EE-C97C61C9A7AC}"/>
                </a:ext>
              </a:extLst>
            </xdr:cNvPr>
            <xdr:cNvSpPr/>
          </xdr:nvSpPr>
          <xdr:spPr>
            <a:xfrm>
              <a:off x="4191059" y="1056808"/>
              <a:ext cx="2395926" cy="831954"/>
            </a:xfrm>
            <a:prstGeom prst="roundRect">
              <a:avLst>
                <a:gd name="adj" fmla="val 1457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0" name="Rectangle: Rounded Corners 9">
              <a:extLst>
                <a:ext uri="{FF2B5EF4-FFF2-40B4-BE49-F238E27FC236}">
                  <a16:creationId xmlns:a16="http://schemas.microsoft.com/office/drawing/2014/main" id="{C4CDDC25-443C-B7ED-FC07-5BD84205F427}"/>
                </a:ext>
              </a:extLst>
            </xdr:cNvPr>
            <xdr:cNvSpPr/>
          </xdr:nvSpPr>
          <xdr:spPr>
            <a:xfrm>
              <a:off x="6673181" y="1056808"/>
              <a:ext cx="2395926" cy="831954"/>
            </a:xfrm>
            <a:prstGeom prst="roundRect">
              <a:avLst>
                <a:gd name="adj" fmla="val 1457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1" name="Rectangle: Rounded Corners 10">
              <a:extLst>
                <a:ext uri="{FF2B5EF4-FFF2-40B4-BE49-F238E27FC236}">
                  <a16:creationId xmlns:a16="http://schemas.microsoft.com/office/drawing/2014/main" id="{3A1E3386-2B1F-04F8-071E-1D3A51DCCAD7}"/>
                </a:ext>
              </a:extLst>
            </xdr:cNvPr>
            <xdr:cNvSpPr/>
          </xdr:nvSpPr>
          <xdr:spPr>
            <a:xfrm>
              <a:off x="9155303" y="1056808"/>
              <a:ext cx="2395926" cy="831954"/>
            </a:xfrm>
            <a:prstGeom prst="roundRect">
              <a:avLst>
                <a:gd name="adj" fmla="val 1457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2" name="Rectangle 11">
              <a:extLst>
                <a:ext uri="{FF2B5EF4-FFF2-40B4-BE49-F238E27FC236}">
                  <a16:creationId xmlns:a16="http://schemas.microsoft.com/office/drawing/2014/main" id="{2CDC8144-C929-29FE-DAD7-A7D1F38AA0DD}"/>
                </a:ext>
              </a:extLst>
            </xdr:cNvPr>
            <xdr:cNvSpPr/>
          </xdr:nvSpPr>
          <xdr:spPr>
            <a:xfrm>
              <a:off x="4464421" y="1738110"/>
              <a:ext cx="914400" cy="45719"/>
            </a:xfrm>
            <a:prstGeom prst="rect">
              <a:avLst/>
            </a:prstGeom>
            <a:solidFill>
              <a:srgbClr val="211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3" name="Rectangle 12">
              <a:extLst>
                <a:ext uri="{FF2B5EF4-FFF2-40B4-BE49-F238E27FC236}">
                  <a16:creationId xmlns:a16="http://schemas.microsoft.com/office/drawing/2014/main" id="{96463DA7-CBF4-EED6-0F77-FC0A1FC4A76A}"/>
                </a:ext>
              </a:extLst>
            </xdr:cNvPr>
            <xdr:cNvSpPr/>
          </xdr:nvSpPr>
          <xdr:spPr>
            <a:xfrm>
              <a:off x="5392786" y="1738109"/>
              <a:ext cx="914400" cy="45719"/>
            </a:xfrm>
            <a:prstGeom prst="rect">
              <a:avLst/>
            </a:prstGeom>
            <a:solidFill>
              <a:srgbClr val="1B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4" name="Rectangle 13">
              <a:extLst>
                <a:ext uri="{FF2B5EF4-FFF2-40B4-BE49-F238E27FC236}">
                  <a16:creationId xmlns:a16="http://schemas.microsoft.com/office/drawing/2014/main" id="{36A443DA-CC94-DE57-9B69-B87390538486}"/>
                </a:ext>
              </a:extLst>
            </xdr:cNvPr>
            <xdr:cNvSpPr/>
          </xdr:nvSpPr>
          <xdr:spPr>
            <a:xfrm>
              <a:off x="7010425" y="1737769"/>
              <a:ext cx="914400" cy="45719"/>
            </a:xfrm>
            <a:prstGeom prst="rect">
              <a:avLst/>
            </a:prstGeom>
            <a:solidFill>
              <a:srgbClr val="211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5" name="Rectangle 14">
              <a:extLst>
                <a:ext uri="{FF2B5EF4-FFF2-40B4-BE49-F238E27FC236}">
                  <a16:creationId xmlns:a16="http://schemas.microsoft.com/office/drawing/2014/main" id="{0B915C08-8B42-33A7-64C7-8C4B0C1390E3}"/>
                </a:ext>
              </a:extLst>
            </xdr:cNvPr>
            <xdr:cNvSpPr/>
          </xdr:nvSpPr>
          <xdr:spPr>
            <a:xfrm>
              <a:off x="7938790" y="1737768"/>
              <a:ext cx="914400" cy="45719"/>
            </a:xfrm>
            <a:prstGeom prst="rect">
              <a:avLst/>
            </a:prstGeom>
            <a:solidFill>
              <a:srgbClr val="1B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6" name="Rectangle 15">
              <a:extLst>
                <a:ext uri="{FF2B5EF4-FFF2-40B4-BE49-F238E27FC236}">
                  <a16:creationId xmlns:a16="http://schemas.microsoft.com/office/drawing/2014/main" id="{C7A3B856-F984-B242-B9E4-93EE23D39782}"/>
                </a:ext>
              </a:extLst>
            </xdr:cNvPr>
            <xdr:cNvSpPr/>
          </xdr:nvSpPr>
          <xdr:spPr>
            <a:xfrm>
              <a:off x="9479125" y="1734550"/>
              <a:ext cx="914400" cy="45719"/>
            </a:xfrm>
            <a:prstGeom prst="rect">
              <a:avLst/>
            </a:prstGeom>
            <a:solidFill>
              <a:srgbClr val="211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7" name="Rectangle 16">
              <a:extLst>
                <a:ext uri="{FF2B5EF4-FFF2-40B4-BE49-F238E27FC236}">
                  <a16:creationId xmlns:a16="http://schemas.microsoft.com/office/drawing/2014/main" id="{D3DDC7CD-CC47-8491-2378-EA2BAC8C5E91}"/>
                </a:ext>
              </a:extLst>
            </xdr:cNvPr>
            <xdr:cNvSpPr/>
          </xdr:nvSpPr>
          <xdr:spPr>
            <a:xfrm>
              <a:off x="10407490" y="1734549"/>
              <a:ext cx="914400" cy="45719"/>
            </a:xfrm>
            <a:prstGeom prst="rect">
              <a:avLst/>
            </a:prstGeom>
            <a:solidFill>
              <a:srgbClr val="1B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grpSp>
      <xdr:sp macro="" textlink="">
        <xdr:nvSpPr>
          <xdr:cNvPr id="18" name="TextBox 17">
            <a:extLst>
              <a:ext uri="{FF2B5EF4-FFF2-40B4-BE49-F238E27FC236}">
                <a16:creationId xmlns:a16="http://schemas.microsoft.com/office/drawing/2014/main" id="{EC96CF35-E5CE-4E16-CAED-A70068FBF636}"/>
              </a:ext>
            </a:extLst>
          </xdr:cNvPr>
          <xdr:cNvSpPr txBox="1"/>
        </xdr:nvSpPr>
        <xdr:spPr>
          <a:xfrm>
            <a:off x="1482834" y="68035"/>
            <a:ext cx="7618255" cy="102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002060"/>
                </a:solidFill>
              </a:rPr>
              <a:t>AM PERFORMANCE DASHBOARD</a:t>
            </a:r>
            <a:endParaRPr lang="en-NG" sz="2200" b="1">
              <a:solidFill>
                <a:srgbClr val="002060"/>
              </a:solidFill>
            </a:endParaRPr>
          </a:p>
        </xdr:txBody>
      </xdr:sp>
      <xdr:sp macro="" textlink="">
        <xdr:nvSpPr>
          <xdr:cNvPr id="19" name="TextBox 18">
            <a:extLst>
              <a:ext uri="{FF2B5EF4-FFF2-40B4-BE49-F238E27FC236}">
                <a16:creationId xmlns:a16="http://schemas.microsoft.com/office/drawing/2014/main" id="{89AD1D14-0CE5-E43E-B659-A27AC8E41831}"/>
              </a:ext>
            </a:extLst>
          </xdr:cNvPr>
          <xdr:cNvSpPr txBox="1"/>
        </xdr:nvSpPr>
        <xdr:spPr>
          <a:xfrm>
            <a:off x="1429714" y="1189613"/>
            <a:ext cx="6452834" cy="290875"/>
          </a:xfrm>
          <a:prstGeom prst="rect">
            <a:avLst/>
          </a:prstGeom>
          <a:solidFill>
            <a:srgbClr val="1BCF9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20 PERFORMING</a:t>
            </a:r>
            <a:r>
              <a:rPr lang="en-US" sz="1100" b="1" baseline="0"/>
              <a:t> AM</a:t>
            </a:r>
            <a:endParaRPr lang="en-NG" sz="1100" b="1"/>
          </a:p>
        </xdr:txBody>
      </xdr:sp>
      <xdr:sp macro="" textlink="">
        <xdr:nvSpPr>
          <xdr:cNvPr id="20" name="TextBox 19">
            <a:extLst>
              <a:ext uri="{FF2B5EF4-FFF2-40B4-BE49-F238E27FC236}">
                <a16:creationId xmlns:a16="http://schemas.microsoft.com/office/drawing/2014/main" id="{8B30BE2B-0E28-43C5-AE28-3F6B549469FB}"/>
              </a:ext>
            </a:extLst>
          </xdr:cNvPr>
          <xdr:cNvSpPr txBox="1"/>
        </xdr:nvSpPr>
        <xdr:spPr>
          <a:xfrm>
            <a:off x="8477377" y="1189831"/>
            <a:ext cx="6562876" cy="303190"/>
          </a:xfrm>
          <a:prstGeom prst="rect">
            <a:avLst/>
          </a:prstGeom>
          <a:solidFill>
            <a:srgbClr val="1BCF9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BOTTOM</a:t>
            </a:r>
            <a:r>
              <a:rPr lang="en-US" sz="1100" b="1" baseline="0"/>
              <a:t> </a:t>
            </a:r>
            <a:r>
              <a:rPr lang="en-US" sz="1100" b="1"/>
              <a:t>20 PERFORMING</a:t>
            </a:r>
            <a:r>
              <a:rPr lang="en-US" sz="1100" b="1" baseline="0"/>
              <a:t> AM</a:t>
            </a:r>
            <a:endParaRPr lang="en-NG" sz="1100" b="1"/>
          </a:p>
        </xdr:txBody>
      </xdr:sp>
      <xdr:sp macro="" textlink="report!A2">
        <xdr:nvSpPr>
          <xdr:cNvPr id="21" name="TextBox 20">
            <a:extLst>
              <a:ext uri="{FF2B5EF4-FFF2-40B4-BE49-F238E27FC236}">
                <a16:creationId xmlns:a16="http://schemas.microsoft.com/office/drawing/2014/main" id="{6F1518CC-65C6-DADC-D32B-430C1FEFF759}"/>
              </a:ext>
            </a:extLst>
          </xdr:cNvPr>
          <xdr:cNvSpPr txBox="1"/>
        </xdr:nvSpPr>
        <xdr:spPr>
          <a:xfrm>
            <a:off x="7217019" y="436126"/>
            <a:ext cx="1827370" cy="552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FEE211-3D59-4803-B854-F98C32512AF3}" type="TxLink">
              <a:rPr lang="en-US" sz="2000" b="1" i="0" u="none" strike="noStrike">
                <a:solidFill>
                  <a:srgbClr val="002060"/>
                </a:solidFill>
                <a:latin typeface="Aptos Narrow"/>
              </a:rPr>
              <a:pPr/>
              <a:t>111</a:t>
            </a:fld>
            <a:endParaRPr lang="en-NG" sz="2000" b="1">
              <a:solidFill>
                <a:srgbClr val="002060"/>
              </a:solidFill>
            </a:endParaRPr>
          </a:p>
        </xdr:txBody>
      </xdr:sp>
      <xdr:sp macro="" textlink="report!C2">
        <xdr:nvSpPr>
          <xdr:cNvPr id="22" name="TextBox 21">
            <a:extLst>
              <a:ext uri="{FF2B5EF4-FFF2-40B4-BE49-F238E27FC236}">
                <a16:creationId xmlns:a16="http://schemas.microsoft.com/office/drawing/2014/main" id="{80D6B147-3676-DA6C-B43A-B965EAE2B560}"/>
              </a:ext>
            </a:extLst>
          </xdr:cNvPr>
          <xdr:cNvSpPr txBox="1"/>
        </xdr:nvSpPr>
        <xdr:spPr>
          <a:xfrm>
            <a:off x="10189657" y="447466"/>
            <a:ext cx="1811670" cy="552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BDE7E0-12F3-42AF-BD46-D199279FA072}" type="TxLink">
              <a:rPr lang="en-US" sz="2000" b="1" i="0" u="none" strike="noStrike">
                <a:solidFill>
                  <a:srgbClr val="002060"/>
                </a:solidFill>
                <a:latin typeface="Aptos Narrow"/>
                <a:ea typeface="+mn-ea"/>
                <a:cs typeface="+mn-cs"/>
              </a:rPr>
              <a:pPr marL="0" indent="0"/>
              <a:t>52</a:t>
            </a:fld>
            <a:endParaRPr lang="en-NG" sz="2000" b="1" i="0" u="none" strike="noStrike">
              <a:solidFill>
                <a:srgbClr val="002060"/>
              </a:solidFill>
              <a:latin typeface="Aptos Narrow"/>
              <a:ea typeface="+mn-ea"/>
              <a:cs typeface="+mn-cs"/>
            </a:endParaRPr>
          </a:p>
        </xdr:txBody>
      </xdr:sp>
      <xdr:sp macro="" textlink="report!E2">
        <xdr:nvSpPr>
          <xdr:cNvPr id="23" name="TextBox 22">
            <a:extLst>
              <a:ext uri="{FF2B5EF4-FFF2-40B4-BE49-F238E27FC236}">
                <a16:creationId xmlns:a16="http://schemas.microsoft.com/office/drawing/2014/main" id="{1FC41068-8FF4-4659-AD55-A0907841E517}"/>
              </a:ext>
            </a:extLst>
          </xdr:cNvPr>
          <xdr:cNvSpPr txBox="1"/>
        </xdr:nvSpPr>
        <xdr:spPr>
          <a:xfrm>
            <a:off x="13159433" y="475134"/>
            <a:ext cx="1829114" cy="552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7A9ADA-3D3B-4FC6-81A2-65C34B9B1452}" type="TxLink">
              <a:rPr lang="en-US" sz="2000" b="1" i="0" u="none" strike="noStrike">
                <a:solidFill>
                  <a:srgbClr val="002060"/>
                </a:solidFill>
                <a:latin typeface="Aptos Narrow"/>
                <a:ea typeface="+mn-ea"/>
                <a:cs typeface="+mn-cs"/>
              </a:rPr>
              <a:pPr marL="0" indent="0"/>
              <a:t>23</a:t>
            </a:fld>
            <a:endParaRPr lang="en-NG" sz="2000" b="1" i="0" u="none" strike="noStrike">
              <a:solidFill>
                <a:srgbClr val="002060"/>
              </a:solidFill>
              <a:latin typeface="Aptos Narrow"/>
              <a:ea typeface="+mn-ea"/>
              <a:cs typeface="+mn-cs"/>
            </a:endParaRPr>
          </a:p>
        </xdr:txBody>
      </xdr:sp>
      <xdr:sp macro="" textlink="">
        <xdr:nvSpPr>
          <xdr:cNvPr id="24" name="TextBox 23">
            <a:extLst>
              <a:ext uri="{FF2B5EF4-FFF2-40B4-BE49-F238E27FC236}">
                <a16:creationId xmlns:a16="http://schemas.microsoft.com/office/drawing/2014/main" id="{F7633CE2-CF2C-42EE-93F0-111792873666}"/>
              </a:ext>
            </a:extLst>
          </xdr:cNvPr>
          <xdr:cNvSpPr txBox="1"/>
        </xdr:nvSpPr>
        <xdr:spPr>
          <a:xfrm>
            <a:off x="6604696" y="234391"/>
            <a:ext cx="2512717" cy="552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1BCF9F"/>
                </a:solidFill>
                <a:latin typeface="Aptos Narrow"/>
              </a:rPr>
              <a:t>Qualified CDL</a:t>
            </a:r>
            <a:r>
              <a:rPr lang="en-US" sz="1400" b="1" i="0" u="none" strike="noStrike" baseline="0">
                <a:solidFill>
                  <a:srgbClr val="1BCF9F"/>
                </a:solidFill>
                <a:latin typeface="Aptos Narrow"/>
              </a:rPr>
              <a:t> This Month</a:t>
            </a:r>
            <a:endParaRPr lang="en-US" sz="1400" b="1" i="0" u="none" strike="noStrike">
              <a:solidFill>
                <a:srgbClr val="1BCF9F"/>
              </a:solidFill>
              <a:latin typeface="Aptos Narrow"/>
            </a:endParaRPr>
          </a:p>
        </xdr:txBody>
      </xdr:sp>
      <xdr:sp macro="" textlink="">
        <xdr:nvSpPr>
          <xdr:cNvPr id="25" name="TextBox 24">
            <a:extLst>
              <a:ext uri="{FF2B5EF4-FFF2-40B4-BE49-F238E27FC236}">
                <a16:creationId xmlns:a16="http://schemas.microsoft.com/office/drawing/2014/main" id="{FE507A8C-BF84-49D0-92B4-A16B328F19CA}"/>
              </a:ext>
            </a:extLst>
          </xdr:cNvPr>
          <xdr:cNvSpPr txBox="1"/>
        </xdr:nvSpPr>
        <xdr:spPr>
          <a:xfrm>
            <a:off x="9412234" y="228041"/>
            <a:ext cx="2497017" cy="54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1BCF9F"/>
                </a:solidFill>
                <a:latin typeface="Aptos Narrow"/>
              </a:rPr>
              <a:t>Qualified CDL</a:t>
            </a:r>
            <a:r>
              <a:rPr lang="en-US" sz="1400" b="1" i="0" u="none" strike="noStrike" baseline="0">
                <a:solidFill>
                  <a:srgbClr val="1BCF9F"/>
                </a:solidFill>
                <a:latin typeface="Aptos Narrow"/>
              </a:rPr>
              <a:t> Last Month</a:t>
            </a:r>
            <a:endParaRPr lang="en-US" sz="1400" b="1" i="0" u="none" strike="noStrike">
              <a:solidFill>
                <a:srgbClr val="1BCF9F"/>
              </a:solidFill>
              <a:latin typeface="Aptos Narrow"/>
            </a:endParaRPr>
          </a:p>
        </xdr:txBody>
      </xdr:sp>
      <xdr:sp macro="" textlink="">
        <xdr:nvSpPr>
          <xdr:cNvPr id="26" name="TextBox 25">
            <a:extLst>
              <a:ext uri="{FF2B5EF4-FFF2-40B4-BE49-F238E27FC236}">
                <a16:creationId xmlns:a16="http://schemas.microsoft.com/office/drawing/2014/main" id="{F09AA3E9-6CB3-403E-80D7-469388C5AD3C}"/>
              </a:ext>
            </a:extLst>
          </xdr:cNvPr>
          <xdr:cNvSpPr txBox="1"/>
        </xdr:nvSpPr>
        <xdr:spPr>
          <a:xfrm>
            <a:off x="12816393" y="267048"/>
            <a:ext cx="2522311" cy="552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1BCF9F"/>
                </a:solidFill>
                <a:latin typeface="Aptos Narrow"/>
              </a:rPr>
              <a:t>Count of CDL</a:t>
            </a:r>
          </a:p>
        </xdr:txBody>
      </xdr:sp>
      <xdr:sp macro="" textlink="">
        <xdr:nvSpPr>
          <xdr:cNvPr id="27" name="Freeform 3">
            <a:extLst>
              <a:ext uri="{FF2B5EF4-FFF2-40B4-BE49-F238E27FC236}">
                <a16:creationId xmlns:a16="http://schemas.microsoft.com/office/drawing/2014/main" id="{96BEC789-A65E-356F-A9C1-CF13F5355C00}"/>
              </a:ext>
            </a:extLst>
          </xdr:cNvPr>
          <xdr:cNvSpPr/>
        </xdr:nvSpPr>
        <xdr:spPr>
          <a:xfrm>
            <a:off x="97693" y="4530481"/>
            <a:ext cx="1282981" cy="945564"/>
          </a:xfrm>
          <a:custGeom>
            <a:avLst/>
            <a:gdLst/>
            <a:ahLst/>
            <a:cxnLst/>
            <a:rect l="l" t="t" r="r" b="b"/>
            <a:pathLst>
              <a:path w="6356958" h="5784832">
                <a:moveTo>
                  <a:pt x="0" y="0"/>
                </a:moveTo>
                <a:lnTo>
                  <a:pt x="6356958" y="0"/>
                </a:lnTo>
                <a:lnTo>
                  <a:pt x="6356958" y="5784832"/>
                </a:lnTo>
                <a:lnTo>
                  <a:pt x="0" y="5784832"/>
                </a:lnTo>
                <a:lnTo>
                  <a:pt x="0" y="0"/>
                </a:lnTo>
                <a:close/>
              </a:path>
            </a:pathLst>
          </a:custGeom>
          <a:blipFill>
            <a:blip xmlns:r="http://schemas.openxmlformats.org/officeDocument/2006/relationships" r:embed="rId2"/>
            <a:stretch>
              <a:fillRect/>
            </a:stretch>
          </a:blipFill>
        </xdr:spPr>
        <xdr:txBody>
          <a:bodyPr wrap="square"/>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G"/>
          </a:p>
        </xdr:txBody>
      </xdr:sp>
      <mc:AlternateContent xmlns:mc="http://schemas.openxmlformats.org/markup-compatibility/2006" xmlns:a14="http://schemas.microsoft.com/office/drawing/2010/main">
        <mc:Choice Requires="a14">
          <xdr:graphicFrame macro="">
            <xdr:nvGraphicFramePr>
              <xdr:cNvPr id="28" name="RM">
                <a:extLst>
                  <a:ext uri="{FF2B5EF4-FFF2-40B4-BE49-F238E27FC236}">
                    <a16:creationId xmlns:a16="http://schemas.microsoft.com/office/drawing/2014/main" id="{98C8E1FD-A670-419F-9286-6BD9BB51ED16}"/>
                  </a:ext>
                </a:extLst>
              </xdr:cNvPr>
              <xdr:cNvGraphicFramePr/>
            </xdr:nvGraphicFramePr>
            <xdr:xfrm>
              <a:off x="0" y="1025768"/>
              <a:ext cx="1306634" cy="2503367"/>
            </xdr:xfrm>
            <a:graphic>
              <a:graphicData uri="http://schemas.microsoft.com/office/drawing/2010/slicer">
                <sle:slicer xmlns:sle="http://schemas.microsoft.com/office/drawing/2010/slicer" name="RM"/>
              </a:graphicData>
            </a:graphic>
          </xdr:graphicFrame>
        </mc:Choice>
        <mc:Fallback xmlns="">
          <xdr:sp macro="" textlink="">
            <xdr:nvSpPr>
              <xdr:cNvPr id="0" name=""/>
              <xdr:cNvSpPr>
                <a:spLocks noTextEdit="1"/>
              </xdr:cNvSpPr>
            </xdr:nvSpPr>
            <xdr:spPr>
              <a:xfrm>
                <a:off x="0" y="1025768"/>
                <a:ext cx="1298312" cy="25033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3.54741284722" createdVersion="8" refreshedVersion="8" minRefreshableVersion="3" recordCount="308" xr:uid="{83D55038-96BD-49C5-B3F0-853108CBE3D7}">
  <cacheSource type="worksheet">
    <worksheetSource name="Table1"/>
  </cacheSource>
  <cacheFields count="21">
    <cacheField name="AM Code" numFmtId="0">
      <sharedItems containsSemiMixedTypes="0" containsString="0" containsNumber="1" containsInteger="1" minValue="110007" maxValue="9600004244"/>
    </cacheField>
    <cacheField name="Name" numFmtId="0">
      <sharedItems count="311">
        <s v="Mokwe Chizoba Ruth"/>
        <s v="Nwoke Glory Ngozi"/>
        <s v="Nkemakolam Odoemelam Friday"/>
        <s v="AJAEGBU ELIZABETH"/>
        <s v="NICHOLAS DANIEL"/>
        <s v="obiorapaul"/>
        <s v="EMMANUEL IKLAGA"/>
        <s v="LUKMAN MUSA"/>
        <s v="omoregieanthony"/>
        <s v="Ogunfowora Shalewa Monsurat"/>
        <s v="Showunmi Olasumbo Daramola"/>
        <s v="Ibrahim Omeiza Ismail"/>
        <s v="Akintola Opeoluwa Abigail"/>
        <s v="Abimbola Deniran Idowu"/>
        <s v="Sonibare Mustapha Tunde"/>
        <s v="Ibikunle Daniel Temilope"/>
        <s v="Omoshalewa Abiola Otulana"/>
        <s v="Asomba Ekene Emmanuel"/>
        <s v="Lola Shoyemi"/>
        <s v="Awuto Peter Friday"/>
        <s v="Adeniyi Deborah Oluwapelumi"/>
        <s v="Okon Christian"/>
        <s v="odukwemoses"/>
        <s v="AZUBUIKE ESTHER CHUKWUNONSO"/>
        <s v="Umoinyang Abundance Emmanuel"/>
        <s v="STEPHANIE OTOME"/>
        <s v="Ukpong Saviour Alphonsus"/>
        <s v="Deguare Ogheneruona"/>
        <s v="Tega Jonathan"/>
        <s v="Enita Atowho"/>
        <s v="Efekoha famous"/>
        <s v="Ohousi Mercy Osayendel"/>
        <s v="OBASI KENNEDY CHINEDU"/>
        <s v="Prince Ikponmwosa Oshodin"/>
        <s v="Mustapha Ahmad Mustapha"/>
        <s v="Chukwu Maryqueen Funmilayo"/>
        <s v="Ibekwe ebuka"/>
        <s v="ibevictus"/>
        <s v="ujohlight"/>
        <s v="Ajewole Shade"/>
        <s v="Dogara Tanko"/>
        <s v="JOSEPH MOSES WAJE"/>
        <s v="CHRISTIANA SIMISOLA ADELUSI"/>
        <s v="Abdul Oladimeji .O."/>
        <s v="HARUNA AGBONIKA"/>
        <s v="Mary Augustine"/>
        <s v="Nwokedi Emmanuel Chinonso"/>
        <s v="Chime Sharon Chinaza"/>
        <s v="Adomokhai Batholomew"/>
        <s v="Ilenowa Julius Owvie"/>
        <s v="itua Godwin Okojie"/>
        <s v="Aguinede Frederick"/>
        <s v="Kilani Rasaki Oluwaseun"/>
        <s v="Ezekiel C Ntumaka"/>
        <s v="Agbor Moses"/>
        <s v="Mustapha Ahmad"/>
        <s v="Anthony Achor"/>
        <s v="OKANYA ABRAHAM OIBE"/>
        <s v="Ishaku Simon"/>
        <s v="Simon Clement Achu"/>
        <s v="Abubakar Usman Yahaya"/>
        <s v="IBRAHIM ANIBE SUNDAY WISDOM"/>
        <s v="SHITTU OLUWATOBI BLESSING"/>
        <s v="USMAN ENOCH"/>
        <s v="ESTHER ENE AGBO"/>
        <s v="Okonkwo Chibuzor Glory"/>
        <s v="VINCENT DANIEL UBONG"/>
        <s v="STEPHEN JEREMIAH AKAMS"/>
        <s v="VIVIAN OGOCHUKWU UBOGU"/>
        <s v="UCHE EMMANUEL"/>
        <s v="Chinyere Kingsley"/>
        <s v="Eze Valentine Obiora"/>
        <s v="Damilola Afuwape"/>
        <s v="Gasali Sodeek Waheed"/>
        <s v="Kehinde Oyetona"/>
        <s v="Oyewale Taibat"/>
        <s v="Odunsi Abiodun"/>
        <s v="odebowaleolajide"/>
        <s v="sadiqabimbola"/>
        <s v="kolawolezacchaeus"/>
        <s v="ADELAKUN ADEYEMI"/>
        <s v="ADEWUMI OLAYINKA"/>
        <s v="Oyedeji Olumide Samuel"/>
        <s v="Jolly Okooza"/>
        <s v="adetipeomotunde"/>
        <s v="kareemtobiloba"/>
        <s v="Onah Comfort Okpeje"/>
        <s v="TAJU BALOGUN"/>
        <s v="OLUMIDE ALABI PETER"/>
        <s v="Dovie Aboyeiwari Green"/>
        <s v="ALIU FOLUKE ADORATION"/>
        <s v="osujiperpetual"/>
        <s v="Okwara Oluchi Favour"/>
        <s v="Oxford Ochi"/>
        <s v="Okokon, Abasi-Ama Edet"/>
        <s v="Akpan, Ekereobong Jerry"/>
        <s v="Ntemba Paul Awaji-Ikachilom"/>
        <s v="Joseph Ohonwa"/>
        <s v="Gladness Michael"/>
        <s v="Abua Patrick Atoshi"/>
        <s v="Abah Gift Alechenu"/>
        <s v="Adama Eneojo Roland"/>
        <s v="ANCHAVER GABRIEL"/>
        <s v="ADENIYI AYOMIPOSI OLUWABAMISE"/>
        <s v="AKANBI TEMITOPE"/>
        <s v="ARANJU PETER OPEOLUWA"/>
        <s v="Tope Akinyelure"/>
        <s v="Oluwakemi Aduloju"/>
        <s v="Kolawole david"/>
        <s v="Okaili Ese Josephine"/>
        <s v="Amos David B"/>
        <s v="Oluwaseun Oluwatosin Olaonipekun"/>
        <s v="Savage Toyin Elizabeth"/>
        <s v="Oyeweso Opeyemi Adepeju"/>
        <s v="AJIBAYE GAZALI BABATUNDE"/>
        <s v="Odubola Odudimu"/>
        <s v="Adepoju Gabriel Taiwo"/>
        <s v="ADETOYESE PAUL ADEYEMI"/>
        <s v="Egberongbe Rebecca"/>
        <s v="Bako Ortyom Gabriel"/>
        <s v="Oluwasegun Kadejo"/>
        <s v="Abiodun Ezekiel oke"/>
        <s v="Akinleye Akinjide"/>
        <s v="Uyoyou Akihomhen"/>
        <s v="Saka Dagbeyon"/>
        <s v="FOLORUNSHO OLORUNFEMI TIMOTHY"/>
        <s v="SHONUBI AYOMIDE SERAH"/>
        <s v="Okougbo Dorcas Tosin"/>
        <s v="Ayuba Grace Alheri"/>
        <s v="Ajayi Oladunni Christiana"/>
        <s v="Taiwo Oluwagbemiga Odutayo"/>
        <s v="Nzeanusi Divine Chinemerem"/>
        <s v="Victor Marvellous"/>
        <s v="Ugwuanyi Kingsley Ifeanyi"/>
        <s v="Olaniran Philip"/>
        <s v="Raji Kudirat Oluwatimileyin"/>
        <s v="Ekeinde Joshua Abiodun"/>
        <s v="Otunuga Wasiu Olalekan"/>
        <s v="Abdulrazak Abdulhakeem"/>
        <s v="Owoyale Mariam Funmilayo"/>
        <s v="AMINA MUHAMMED"/>
        <s v="IMODU OLUWAFUNMIKE ADEWUNMI"/>
        <s v="ISAAC JOSEPH PUKUMA"/>
        <s v="Echefu Chibueze Chris"/>
        <s v="Amina Gazali"/>
        <s v="Olaleye Majeed Kayode"/>
        <s v="Lukman Iliyasu"/>
        <s v="Akin Danladi Garnwa"/>
        <s v="Abdullahi Adamu"/>
        <s v="Rimamtanung Haruna Urum"/>
        <s v="Adamu Saidu"/>
        <s v="Lawrence Gwazah Patrick"/>
        <s v="KABIR MUHAMMAD IBRAHIM"/>
        <s v="Naziru Bello"/>
        <s v="MUHAMMAD KABIR MUHAMMAD"/>
        <s v="OPARAH EMMANUEL"/>
        <s v="JOSHUA VINA"/>
        <s v="DAFFA NANRE VONGJEN"/>
        <s v="Adeyele Kemi Bola"/>
        <s v="Mukhtar Adamu"/>
        <s v="Ibrahim Majeed Onitola"/>
        <s v="Bulus Musa"/>
        <s v="Muhammed Musa Adinoyi"/>
        <s v="Ali Modu Maina"/>
        <s v="Anthony Chinda"/>
        <s v="Timnah David"/>
        <s v="Muhammed Bunu"/>
        <s v="Oladipo Sodiq Onitola"/>
        <s v="Iliyasu Hamid"/>
        <s v="Alilu idris"/>
        <s v="Alhassan Zainab"/>
        <s v="Jubril Yusuf Danjuma"/>
        <s v="Lukman Aliyu Abdullahi"/>
        <s v="IKECHUKWU KENNETH"/>
        <s v="Ofozoba Esther onyinye"/>
        <s v="ADEAGBO TOBILOBA DAVID"/>
        <s v="Akande Kola Emmanuel"/>
        <s v="Abdulazeez Munirat Oyiza"/>
        <s v="Audu Rabi Oyiza"/>
        <s v="Abbas Khamisu"/>
        <s v="Nimat yusuf"/>
        <s v="USMAN MUHAMMED"/>
        <s v="Temim Bashir Olarewaju"/>
        <s v="Abdulqudus Olayinka Mashood"/>
        <s v="Audu Daniel Jamiu"/>
        <s v="Ogunlade David Sunday"/>
        <s v="Nengak Yunana"/>
        <s v="Azu Joy Chinanu"/>
        <s v="Wahanu Jonathan Ayuba"/>
        <s v="Najim Kasim Ibrahim"/>
        <s v="Yusuf Prince Abubakar"/>
        <s v="Abednego Joseph"/>
        <s v="abdullahi Musa Yaro"/>
        <s v="Sani Ismaila Smart"/>
        <s v="OLUTIMILEHIN SEGUN IBITEYE"/>
        <s v="Shedrack Joseph"/>
        <s v="Adewumi Nathaniel Rotimi"/>
        <s v="BILaL AWALU"/>
        <s v="Ishaq Salisu Dabo"/>
        <s v="Abdulazeez abdulganiyu"/>
        <s v="Umar Yakubu Mustapha"/>
        <s v="ABUBAKAR AHMAD ABUBAKAR"/>
        <s v="Ashafa Umar Musa"/>
        <s v="MUHAMMAD ARDO AHMED"/>
        <s v="Blessing Alawode"/>
        <s v="Toyyib Abdulfatah"/>
        <s v="Adebisi Damilare"/>
        <s v="Hamisu Idris Bahago"/>
        <s v="AMINU UMAR BAGGU"/>
        <s v="JABIR ABUBAKAR"/>
        <s v="TIMOTHY FRIDAY"/>
        <s v="Elihah Daniel Chukwunonso"/>
        <s v="Innocent Maduakonam"/>
        <s v="Chukwuralu Sylvia Chukwudumebi"/>
        <s v="UPAN CRISTABEL UTANDE"/>
        <s v="Moses Ikechukwu Iloh"/>
        <s v="Uzochukwu Promise Chukwuebuka"/>
        <s v="Wisdom Ndukwu"/>
        <s v="Augustine Amahotu"/>
        <s v="Ogbonna felix chinwendu"/>
        <s v="Momoh Mary Abooluwa"/>
        <s v="Yvette Ogonna Chukwunyere"/>
        <s v="IKPE DANIEL CHINEDU"/>
        <s v="Benedict Chiemerie Joshua"/>
        <s v="Amoair linda Doobee"/>
        <s v="Chinedu Victor Uche"/>
        <s v="OFFIA-UDONSI MARTIN UDONSI"/>
        <s v="Gabriel Oriri"/>
        <s v="JOHNPAUL ABONYI"/>
        <s v="ORIEKE CHUKWUEMEKA KALU"/>
        <s v="Elekwa Chinyere Becky"/>
        <s v="Johnson Onyebuchi O"/>
        <s v="UDEZE CHIDIMMA"/>
        <s v="JOSEPH GLORY OCHANYA"/>
        <s v="CHIAZOR OGECHUKWU ACHUKWU"/>
        <s v="NWOKE GODDIAN SYLVESTER"/>
        <s v="EMMANUEL OGECHUKWU"/>
        <s v="OKAFOR CHIDERA OBINNA"/>
        <s v="EDEH UCHECHI MARYSANDRA"/>
        <s v="NWONU TOCHUKWU"/>
        <s v="EZEH GRACE"/>
        <s v="GUGU RITA CAROLINE"/>
        <s v="OPARA CHIMIEZE JESSICA"/>
        <s v="EDOGUN FLORENCE"/>
        <s v="IGBO PRISCILLA NKECHINYERE"/>
        <s v="Nwanmuo Gideon Obumneke"/>
        <s v="OJEPA JOSEPH SIMON"/>
        <s v="Eziagwu Chukwuji"/>
        <s v="Ibeabuchi Nnaemeka"/>
        <s v="Eunice Igben Ejiro"/>
        <s v="Egu Edith Nnenna"/>
        <s v="Orji Adaolisa Priscilia"/>
        <s v="Koate Barivure"/>
        <s v="Emmanuel Okon Akpaso"/>
        <s v="Joshua Dominion Brown"/>
        <s v="PEACE AGEDE ADIE"/>
        <s v="Ruth Edima Uweh"/>
        <s v="Catherine Anwanakak"/>
        <s v="Karimatu Kasim"/>
        <s v="Nwafor Christiana"/>
        <s v="Akeredolu Oluwafunke"/>
        <s v="Anyaegbunam Emmanuel Chukwuwetalu"/>
        <s v="David Fidelia Onyinye"/>
        <s v="Aju Esther Ogochukwu"/>
        <s v="Ofoegbu Perpetua Chidera"/>
        <s v="Osuolo Evans Kofi"/>
        <s v="BRASIN PHILIP RAPHAEL"/>
        <s v="Okoji Kelechi Jemimah"/>
        <s v="Unyime Young Matthew"/>
        <s v="Nmezi Prince Chinemerem"/>
        <s v="UGORJI FAITH CHIJENDU"/>
        <s v="CHINEDU OMAMII"/>
        <s v="ARAGA AGOM"/>
        <s v="ODEY MOSES"/>
        <s v="NTOR ISAAC MARTINS"/>
        <s v="COVENANT NKEREUWEM UDOMINYANG"/>
        <s v="WOBASE EKO"/>
        <s v="MATTHEW FELIX EKPO"/>
        <s v="EMMANUEL EDET OKON"/>
        <s v="Philip Ukahi Onaah"/>
        <s v="ABDULFATAI AKINKUNMI ABIODUN"/>
        <s v="AZEEZ AJIBOLA SAKIRUDEEN"/>
        <s v="FALAJIKI AYOBAMI URIEL"/>
        <s v="Atamba Onyinyechi Anthonia"/>
        <s v="Henry Joseph"/>
        <s v="Onyegbosi Mirian Oluoma"/>
        <s v="Ifejiofor Blessing"/>
        <s v="Ogbonna Amarachi Glory"/>
        <s v="Anyanwu Chris Adibe"/>
        <s v="Ndukanma Onyedikachi"/>
        <s v="Ogbo Chibuike Magnus"/>
        <s v="AHMED IMAM ADAM"/>
        <s v="Okunola Oladeji Samuel"/>
        <s v="Adetona Seun Abiola"/>
        <s v="ADEKUNLE MONSURAT"/>
        <s v="Akinjiyan Olalekan Olawale"/>
        <s v="OLASUPO RAMAT ABOLADE"/>
        <s v="Isiolaotan Oyewole Michael"/>
        <s v="AYODELE OLUBUNMI CLEMENT"/>
        <s v="OLADELE ALIU SEYI"/>
        <s v="OBIDELE AFEEZ OJO"/>
        <s v="Soyinka Olusegun Michael"/>
        <s v="Fetuga Damilola Omoyemi"/>
        <s v="Godwin Regina Nsima"/>
        <s v="CHARLES VICTORIA"/>
        <s v="Gwunawaji Rhoda Ogoronte"/>
        <s v="Olofe Temidayo Emmanuel"/>
        <s v="Oke Olubunmi Francis"/>
        <s v="Faniyan Olajumoke" u="1"/>
        <s v="SHAFIU MURTALA" u="1"/>
        <s v="Chigozie Daniel Okorie" u="1"/>
      </sharedItems>
    </cacheField>
    <cacheField name="Position" numFmtId="0">
      <sharedItems/>
    </cacheField>
    <cacheField name="Region" numFmtId="0">
      <sharedItems containsBlank="1" count="8">
        <s v="South East"/>
        <s v="North Central"/>
        <s v="South South"/>
        <s v="Lagos"/>
        <s v="North West"/>
        <s v="West"/>
        <s v="North East"/>
        <m u="1"/>
      </sharedItems>
    </cacheField>
    <cacheField name="State" numFmtId="0">
      <sharedItems/>
    </cacheField>
    <cacheField name="SM CODE" numFmtId="0">
      <sharedItems containsSemiMixedTypes="0" containsString="0" containsNumber="1" containsInteger="1" minValue="110001" maxValue="9620000210"/>
    </cacheField>
    <cacheField name="SM" numFmtId="0">
      <sharedItems/>
    </cacheField>
    <cacheField name="RM CODE" numFmtId="0">
      <sharedItems containsSemiMixedTypes="0" containsString="0" containsNumber="1" containsInteger="1" minValue="210001" maxValue="410000011"/>
    </cacheField>
    <cacheField name="RM" numFmtId="0">
      <sharedItems count="7">
        <s v="Fakayejo Lekan Michael"/>
        <s v="Jimoh Biliaminu"/>
        <s v="omololasilva"/>
        <s v="MICHAEL EGUMA"/>
        <s v="Fortunatus Chukwunenye Eze"/>
        <s v="BISIRIYU YUSUF ADENIYI"/>
        <s v="Gabriel Kate Adeola"/>
      </sharedItems>
    </cacheField>
    <cacheField name="Total Bonus" numFmtId="0">
      <sharedItems containsSemiMixedTypes="0" containsString="0" containsNumber="1" containsInteger="1" minValue="0" maxValue="611600"/>
    </cacheField>
    <cacheField name="排名_x000a_ranking" numFmtId="0">
      <sharedItems containsSemiMixedTypes="0" containsString="0" containsNumber="1" containsInteger="1" minValue="1" maxValue="274"/>
    </cacheField>
    <cacheField name="是否合格_x000a_qualified or not" numFmtId="0">
      <sharedItems/>
    </cacheField>
    <cacheField name="本周期新发合格Pos_x000a_Qualified POS in This Month" numFmtId="0">
      <sharedItems containsSemiMixedTypes="0" containsString="0" containsNumber="1" containsInteger="1" minValue="0" maxValue="381"/>
    </cacheField>
    <cacheField name="押金合格pos _x000a_Last Month rollover pos -caution deposit" numFmtId="0">
      <sharedItems containsSemiMixedTypes="0" containsString="0" containsNumber="1" containsInteger="1" minValue="0" maxValue="95"/>
    </cacheField>
    <cacheField name="合格POS_x000a_qualified POS in This Month_x000a_with rollover" numFmtId="0">
      <sharedItems containsSemiMixedTypes="0" containsString="0" containsNumber="1" containsInteger="1" minValue="0" maxValue="408"/>
    </cacheField>
    <cacheField name="合格率_x000a_qualification rate" numFmtId="9">
      <sharedItems containsSemiMixedTypes="0" containsString="0" containsNumber="1" minValue="0" maxValue="0.96"/>
    </cacheField>
    <cacheField name="奖金 Bouns" numFmtId="0">
      <sharedItems containsSemiMixedTypes="0" containsString="0" containsNumber="1" containsInteger="1" minValue="0" maxValue="489600"/>
    </cacheField>
    <cacheField name="Qualified aggr this month" numFmtId="0">
      <sharedItems containsSemiMixedTypes="0" containsString="0" containsNumber="1" containsInteger="1" minValue="0" maxValue="32"/>
    </cacheField>
    <cacheField name="qualified aggr last Month" numFmtId="0">
      <sharedItems containsSemiMixedTypes="0" containsString="0" containsNumber="1" containsInteger="1" minValue="0" maxValue="28"/>
    </cacheField>
    <cacheField name="本月净增_x000a_Increase" numFmtId="0">
      <sharedItems containsSemiMixedTypes="0" containsString="0" containsNumber="1" containsInteger="1" minValue="0" maxValue="12"/>
    </cacheField>
    <cacheField name="Rank" numFmtId="0">
      <sharedItems containsSemiMixedTypes="0" containsString="0" containsNumber="1" containsInteger="1" minValue="1" maxValue="308"/>
    </cacheField>
  </cacheFields>
  <extLst>
    <ext xmlns:x14="http://schemas.microsoft.com/office/spreadsheetml/2009/9/main" uri="{725AE2AE-9491-48be-B2B4-4EB974FC3084}">
      <x14:pivotCacheDefinition pivotCacheId="1447241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10007"/>
    <x v="0"/>
    <s v="AM"/>
    <x v="0"/>
    <s v="Abia"/>
    <n v="110001"/>
    <s v="Michael Ogechukwu Akwarandu"/>
    <n v="400000122"/>
    <x v="0"/>
    <n v="220400"/>
    <n v="44"/>
    <s v="Y"/>
    <n v="75"/>
    <n v="48"/>
    <n v="123"/>
    <n v="0.51"/>
    <n v="98400"/>
    <n v="12"/>
    <n v="4"/>
    <n v="8"/>
    <n v="86"/>
  </r>
  <r>
    <n v="110009"/>
    <x v="1"/>
    <s v="AM"/>
    <x v="0"/>
    <s v="Abia"/>
    <n v="110001"/>
    <s v="Michael Ogechukwu Akwarandu"/>
    <n v="400000122"/>
    <x v="0"/>
    <n v="256000"/>
    <n v="33"/>
    <s v="Y"/>
    <n v="92"/>
    <n v="29"/>
    <n v="121"/>
    <n v="0.61"/>
    <n v="121000"/>
    <n v="17"/>
    <n v="8"/>
    <n v="9"/>
    <n v="28"/>
  </r>
  <r>
    <n v="120011"/>
    <x v="2"/>
    <s v="AM"/>
    <x v="1"/>
    <s v="Nassarawa"/>
    <n v="92200201"/>
    <s v="IBRAHIM MOHAMMED"/>
    <n v="300310001"/>
    <x v="1"/>
    <n v="46400"/>
    <n v="230"/>
    <s v="N"/>
    <n v="30"/>
    <n v="7"/>
    <n v="37"/>
    <n v="0.72"/>
    <n v="44400"/>
    <n v="2"/>
    <n v="11"/>
    <n v="0"/>
    <n v="254"/>
  </r>
  <r>
    <n v="120016"/>
    <x v="3"/>
    <s v="AM"/>
    <x v="1"/>
    <s v="FCT"/>
    <n v="302320002"/>
    <s v="Derek Olanrewaju Alana"/>
    <n v="300310001"/>
    <x v="1"/>
    <n v="203000"/>
    <n v="57"/>
    <s v="Y"/>
    <n v="68"/>
    <n v="28"/>
    <n v="96"/>
    <n v="0.62"/>
    <n v="96000"/>
    <n v="13"/>
    <n v="10"/>
    <n v="3"/>
    <n v="64"/>
  </r>
  <r>
    <n v="120023"/>
    <x v="4"/>
    <s v="AM"/>
    <x v="1"/>
    <s v="Nassarawa"/>
    <n v="92200201"/>
    <s v="IBRAHIM MOHAMMED"/>
    <n v="300310001"/>
    <x v="1"/>
    <n v="229600"/>
    <n v="40"/>
    <s v="Y"/>
    <n v="75"/>
    <n v="22"/>
    <n v="97"/>
    <n v="0.54"/>
    <n v="77600"/>
    <n v="14"/>
    <n v="8"/>
    <n v="6"/>
    <n v="55"/>
  </r>
  <r>
    <n v="120029"/>
    <x v="5"/>
    <s v="AM"/>
    <x v="1"/>
    <s v="FCT"/>
    <n v="93200201"/>
    <s v="Ibekwe Stanley O"/>
    <n v="300310001"/>
    <x v="1"/>
    <n v="176000"/>
    <n v="74"/>
    <s v="Y"/>
    <n v="40"/>
    <n v="29"/>
    <n v="69"/>
    <n v="0.68"/>
    <n v="69000"/>
    <n v="10"/>
    <n v="7"/>
    <n v="3"/>
    <n v="122"/>
  </r>
  <r>
    <n v="120050"/>
    <x v="6"/>
    <s v="AM"/>
    <x v="1"/>
    <s v="Niger"/>
    <n v="93000101"/>
    <s v="Daniel Joseph"/>
    <n v="300310001"/>
    <x v="1"/>
    <n v="125000"/>
    <n v="133"/>
    <s v="Y"/>
    <n v="45"/>
    <n v="35"/>
    <n v="80"/>
    <n v="0.66"/>
    <n v="80000"/>
    <n v="10"/>
    <n v="7"/>
    <n v="3"/>
    <n v="116"/>
  </r>
  <r>
    <n v="120052"/>
    <x v="7"/>
    <s v="AM"/>
    <x v="1"/>
    <s v="FCT"/>
    <n v="93200201"/>
    <s v="Ibekwe Stanley O"/>
    <n v="300310001"/>
    <x v="1"/>
    <n v="62000"/>
    <n v="215"/>
    <s v="N"/>
    <n v="47"/>
    <n v="21"/>
    <n v="68"/>
    <n v="0.32"/>
    <n v="0"/>
    <n v="6"/>
    <n v="2"/>
    <n v="4"/>
    <n v="198"/>
  </r>
  <r>
    <n v="150002"/>
    <x v="8"/>
    <s v="AM"/>
    <x v="2"/>
    <s v="Delta"/>
    <n v="210023"/>
    <s v="davidsonaken"/>
    <n v="210001"/>
    <x v="2"/>
    <n v="75200"/>
    <n v="200"/>
    <s v="N"/>
    <n v="20"/>
    <n v="27"/>
    <n v="47"/>
    <n v="0.42"/>
    <n v="28200"/>
    <n v="5"/>
    <n v="2"/>
    <n v="3"/>
    <n v="218"/>
  </r>
  <r>
    <n v="180003"/>
    <x v="9"/>
    <s v="AM"/>
    <x v="3"/>
    <s v="Lagos-E"/>
    <n v="91000115"/>
    <s v="Yusuff Wasiu Ayoade"/>
    <n v="410000010"/>
    <x v="3"/>
    <n v="152600"/>
    <n v="94"/>
    <s v="Y"/>
    <n v="93"/>
    <n v="5"/>
    <n v="98"/>
    <n v="0.94"/>
    <n v="117600"/>
    <n v="17"/>
    <n v="16"/>
    <n v="1"/>
    <n v="30"/>
  </r>
  <r>
    <n v="180004"/>
    <x v="10"/>
    <s v="AM"/>
    <x v="3"/>
    <s v="Lagos-E"/>
    <n v="91000115"/>
    <s v="Yusuff Wasiu Ayoade"/>
    <n v="410000010"/>
    <x v="3"/>
    <n v="378400"/>
    <n v="11"/>
    <s v="Y"/>
    <n v="70"/>
    <n v="12"/>
    <n v="82"/>
    <n v="0.86"/>
    <n v="98400"/>
    <n v="14"/>
    <n v="6"/>
    <n v="8"/>
    <n v="61"/>
  </r>
  <r>
    <n v="180011"/>
    <x v="11"/>
    <s v="AM"/>
    <x v="3"/>
    <s v="Lagos-5"/>
    <n v="350032"/>
    <s v="Okoi Lucky Sunday"/>
    <n v="410000010"/>
    <x v="3"/>
    <n v="114000"/>
    <n v="147"/>
    <s v="Y"/>
    <n v="38"/>
    <n v="14"/>
    <n v="52"/>
    <n v="0.65"/>
    <n v="52000"/>
    <n v="6"/>
    <n v="2"/>
    <n v="4"/>
    <n v="195"/>
  </r>
  <r>
    <n v="180012"/>
    <x v="12"/>
    <s v="AM"/>
    <x v="3"/>
    <s v="Lagos-E"/>
    <n v="350032"/>
    <s v="Okoi Lucky Sunday"/>
    <n v="410000010"/>
    <x v="3"/>
    <n v="147000"/>
    <n v="99"/>
    <s v="Y"/>
    <n v="37"/>
    <n v="33"/>
    <n v="70"/>
    <n v="0.61"/>
    <n v="70000"/>
    <n v="9"/>
    <n v="4"/>
    <n v="5"/>
    <n v="135"/>
  </r>
  <r>
    <n v="180013"/>
    <x v="13"/>
    <s v="AM"/>
    <x v="3"/>
    <s v="Lagos-E"/>
    <n v="350032"/>
    <s v="Okoi Lucky Sunday"/>
    <n v="410000010"/>
    <x v="3"/>
    <n v="108400"/>
    <n v="163"/>
    <s v="Y"/>
    <n v="26"/>
    <n v="23"/>
    <n v="49"/>
    <n v="0.47"/>
    <n v="29400"/>
    <n v="5"/>
    <n v="0"/>
    <n v="5"/>
    <n v="206"/>
  </r>
  <r>
    <n v="180014"/>
    <x v="14"/>
    <s v="AM"/>
    <x v="3"/>
    <s v="Lagos-E"/>
    <n v="350032"/>
    <s v="Okoi Lucky Sunday"/>
    <n v="410000010"/>
    <x v="3"/>
    <n v="226600"/>
    <n v="42"/>
    <s v="Y"/>
    <n v="81"/>
    <n v="40"/>
    <n v="121"/>
    <n v="0.42"/>
    <n v="72600"/>
    <n v="15"/>
    <n v="5"/>
    <n v="10"/>
    <n v="46"/>
  </r>
  <r>
    <n v="180017"/>
    <x v="15"/>
    <s v="AM"/>
    <x v="3"/>
    <s v="Lagos-E"/>
    <n v="350032"/>
    <s v="Okoi Lucky Sunday"/>
    <n v="410000010"/>
    <x v="3"/>
    <n v="257600"/>
    <n v="32"/>
    <s v="Y"/>
    <n v="60"/>
    <n v="62"/>
    <n v="122"/>
    <n v="0.5"/>
    <n v="97600"/>
    <n v="14"/>
    <n v="4"/>
    <n v="10"/>
    <n v="54"/>
  </r>
  <r>
    <n v="180018"/>
    <x v="16"/>
    <s v="AM"/>
    <x v="3"/>
    <s v="Lagos-D"/>
    <n v="350003"/>
    <s v="oparasamuelifeanyi"/>
    <n v="410000010"/>
    <x v="3"/>
    <n v="96000"/>
    <n v="175"/>
    <s v="N"/>
    <n v="71"/>
    <n v="23"/>
    <n v="94"/>
    <n v="0.64"/>
    <n v="94000"/>
    <n v="10"/>
    <n v="10"/>
    <n v="0"/>
    <n v="125"/>
  </r>
  <r>
    <n v="180026"/>
    <x v="17"/>
    <s v="AM"/>
    <x v="3"/>
    <s v="Lagos-E"/>
    <n v="350032"/>
    <s v="Okoi Lucky Sunday"/>
    <n v="410000010"/>
    <x v="3"/>
    <n v="135400"/>
    <n v="119"/>
    <s v="Y"/>
    <n v="50"/>
    <n v="23"/>
    <n v="73"/>
    <n v="0.53"/>
    <n v="58400"/>
    <n v="8"/>
    <n v="3"/>
    <n v="5"/>
    <n v="156"/>
  </r>
  <r>
    <n v="180030"/>
    <x v="18"/>
    <s v="AM"/>
    <x v="3"/>
    <s v="Lagos-E"/>
    <n v="91000115"/>
    <s v="Yusuff Wasiu Ayoade"/>
    <n v="410000010"/>
    <x v="3"/>
    <n v="507600"/>
    <n v="4"/>
    <s v="Y"/>
    <n v="172"/>
    <n v="16"/>
    <n v="188"/>
    <n v="0.77"/>
    <n v="225600"/>
    <n v="28"/>
    <n v="20"/>
    <n v="8"/>
    <n v="4"/>
  </r>
  <r>
    <n v="180035"/>
    <x v="19"/>
    <s v="AM"/>
    <x v="3"/>
    <s v="Lagos-D"/>
    <n v="350003"/>
    <s v="oparasamuelifeanyi"/>
    <n v="410000010"/>
    <x v="3"/>
    <n v="229800"/>
    <n v="39"/>
    <s v="Y"/>
    <n v="116"/>
    <n v="35"/>
    <n v="151"/>
    <n v="0.55000000000000004"/>
    <n v="120800"/>
    <n v="13"/>
    <n v="10"/>
    <n v="3"/>
    <n v="69"/>
  </r>
  <r>
    <n v="180041"/>
    <x v="20"/>
    <s v="AM"/>
    <x v="3"/>
    <s v="Lagos-D"/>
    <n v="350003"/>
    <s v="oparasamuelifeanyi"/>
    <n v="410000010"/>
    <x v="3"/>
    <n v="471400"/>
    <n v="5"/>
    <s v="Y"/>
    <n v="152"/>
    <n v="35"/>
    <n v="187"/>
    <n v="0.74"/>
    <n v="224400"/>
    <n v="27"/>
    <n v="20"/>
    <n v="7"/>
    <n v="5"/>
  </r>
  <r>
    <n v="200004"/>
    <x v="21"/>
    <s v="AM"/>
    <x v="0"/>
    <s v="Cross River"/>
    <n v="200000"/>
    <s v="Adelusi Oluwatobi"/>
    <n v="400000122"/>
    <x v="0"/>
    <n v="245800"/>
    <n v="36"/>
    <s v="Y"/>
    <n v="91"/>
    <n v="23"/>
    <n v="114"/>
    <n v="0.8"/>
    <n v="136800"/>
    <n v="18"/>
    <n v="15"/>
    <n v="3"/>
    <n v="22"/>
  </r>
  <r>
    <n v="210011"/>
    <x v="22"/>
    <s v="AM"/>
    <x v="2"/>
    <s v="Delta"/>
    <n v="210006"/>
    <s v="akpomedayeogaga"/>
    <n v="210001"/>
    <x v="2"/>
    <n v="49000"/>
    <n v="227"/>
    <s v="N"/>
    <n v="26"/>
    <n v="20"/>
    <n v="46"/>
    <n v="0.37"/>
    <n v="0"/>
    <n v="7"/>
    <n v="4"/>
    <n v="3"/>
    <n v="178"/>
  </r>
  <r>
    <n v="210051"/>
    <x v="23"/>
    <s v="AM"/>
    <x v="2"/>
    <s v="Delta"/>
    <n v="150021"/>
    <s v="CHINEMEREM WISDOM EMMANUEL"/>
    <n v="210001"/>
    <x v="2"/>
    <n v="86200"/>
    <n v="188"/>
    <s v="N"/>
    <n v="31"/>
    <n v="46"/>
    <n v="77"/>
    <n v="0.46"/>
    <n v="46200"/>
    <n v="6"/>
    <n v="4"/>
    <n v="2"/>
    <n v="189"/>
  </r>
  <r>
    <n v="210052"/>
    <x v="24"/>
    <s v="AM"/>
    <x v="2"/>
    <s v="Delta"/>
    <n v="210023"/>
    <s v="davidsonaken"/>
    <n v="210001"/>
    <x v="2"/>
    <n v="48000"/>
    <n v="228"/>
    <s v="N"/>
    <n v="30"/>
    <n v="25"/>
    <n v="55"/>
    <n v="0.46"/>
    <n v="33000"/>
    <n v="7"/>
    <n v="6"/>
    <n v="1"/>
    <n v="184"/>
  </r>
  <r>
    <n v="210053"/>
    <x v="25"/>
    <s v="AM"/>
    <x v="2"/>
    <s v="Delta"/>
    <n v="210023"/>
    <s v="davidsonaken"/>
    <n v="210001"/>
    <x v="2"/>
    <n v="112400"/>
    <n v="153"/>
    <s v="Y"/>
    <n v="24"/>
    <n v="34"/>
    <n v="58"/>
    <n v="0.51"/>
    <n v="46400"/>
    <n v="6"/>
    <n v="2"/>
    <n v="4"/>
    <n v="204"/>
  </r>
  <r>
    <n v="210054"/>
    <x v="26"/>
    <s v="AM"/>
    <x v="2"/>
    <s v="Delta"/>
    <n v="210006"/>
    <s v="akpomedayeogaga"/>
    <n v="210001"/>
    <x v="2"/>
    <n v="81400"/>
    <n v="193"/>
    <s v="N"/>
    <n v="35"/>
    <n v="43"/>
    <n v="78"/>
    <n v="0.53"/>
    <n v="62400"/>
    <n v="10"/>
    <n v="9"/>
    <n v="1"/>
    <n v="131"/>
  </r>
  <r>
    <n v="210058"/>
    <x v="27"/>
    <s v="AM"/>
    <x v="2"/>
    <s v="Delta"/>
    <n v="210023"/>
    <s v="davidsonaken"/>
    <n v="210001"/>
    <x v="2"/>
    <n v="91800"/>
    <n v="181"/>
    <s v="N"/>
    <n v="24"/>
    <n v="29"/>
    <n v="53"/>
    <n v="0.42"/>
    <n v="31800"/>
    <n v="6"/>
    <n v="2"/>
    <n v="4"/>
    <n v="193"/>
  </r>
  <r>
    <n v="210060000"/>
    <x v="28"/>
    <s v="AM"/>
    <x v="2"/>
    <s v="Delta"/>
    <n v="210006"/>
    <s v="akpomedayeogaga"/>
    <n v="210001"/>
    <x v="2"/>
    <n v="134800"/>
    <n v="121"/>
    <s v="Y"/>
    <n v="40"/>
    <n v="56"/>
    <n v="96"/>
    <n v="0.53"/>
    <n v="76800"/>
    <n v="10"/>
    <n v="8"/>
    <n v="2"/>
    <n v="130"/>
  </r>
  <r>
    <n v="210062000"/>
    <x v="29"/>
    <s v="AM"/>
    <x v="2"/>
    <s v="Anambra"/>
    <n v="210050"/>
    <s v="Ndidi Alex"/>
    <n v="210001"/>
    <x v="2"/>
    <n v="149400"/>
    <n v="97"/>
    <s v="Y"/>
    <n v="24"/>
    <n v="50"/>
    <n v="74"/>
    <n v="0.45"/>
    <n v="44400"/>
    <n v="11"/>
    <n v="8"/>
    <n v="3"/>
    <n v="96"/>
  </r>
  <r>
    <n v="210063000"/>
    <x v="30"/>
    <s v="AM"/>
    <x v="2"/>
    <s v="Anambra"/>
    <n v="210050"/>
    <s v="Ndidi Alex"/>
    <n v="210001"/>
    <x v="2"/>
    <n v="93200"/>
    <n v="179"/>
    <s v="N"/>
    <n v="62"/>
    <n v="52"/>
    <n v="114"/>
    <n v="0.59"/>
    <n v="91200"/>
    <n v="15"/>
    <n v="16"/>
    <n v="0"/>
    <n v="40"/>
  </r>
  <r>
    <n v="210064000"/>
    <x v="31"/>
    <s v="AM"/>
    <x v="2"/>
    <s v="Anambra"/>
    <n v="210050"/>
    <s v="Ndidi Alex"/>
    <n v="210001"/>
    <x v="2"/>
    <n v="10000"/>
    <n v="263"/>
    <s v="N"/>
    <n v="10"/>
    <n v="0"/>
    <n v="10"/>
    <n v="0"/>
    <n v="0"/>
    <n v="2"/>
    <n v="0"/>
    <n v="2"/>
    <n v="255"/>
  </r>
  <r>
    <n v="230029"/>
    <x v="32"/>
    <s v="AM"/>
    <x v="2"/>
    <s v="Edo"/>
    <n v="230003"/>
    <s v="Emenogu Peterclave"/>
    <n v="210001"/>
    <x v="2"/>
    <n v="87000"/>
    <n v="187"/>
    <s v="N"/>
    <n v="43"/>
    <n v="27"/>
    <n v="70"/>
    <n v="0.48"/>
    <n v="42000"/>
    <n v="6"/>
    <n v="3"/>
    <n v="3"/>
    <n v="201"/>
  </r>
  <r>
    <n v="230048"/>
    <x v="33"/>
    <s v="AM"/>
    <x v="2"/>
    <s v="Edo"/>
    <n v="230003"/>
    <s v="Emenogu Peterclave"/>
    <n v="210001"/>
    <x v="2"/>
    <n v="122600"/>
    <n v="139"/>
    <s v="Y"/>
    <n v="56"/>
    <n v="26"/>
    <n v="82"/>
    <n v="0.59"/>
    <n v="65600"/>
    <n v="6"/>
    <n v="3"/>
    <n v="3"/>
    <n v="202"/>
  </r>
  <r>
    <n v="240000206"/>
    <x v="34"/>
    <s v="AM"/>
    <x v="4"/>
    <s v="Kano"/>
    <n v="920001000"/>
    <s v="Abdulkadir Aliyu"/>
    <n v="410000011"/>
    <x v="4"/>
    <n v="12000"/>
    <n v="261"/>
    <s v="N"/>
    <n v="11"/>
    <n v="21"/>
    <n v="32"/>
    <n v="0.36"/>
    <n v="0"/>
    <n v="3"/>
    <n v="1"/>
    <n v="2"/>
    <n v="242"/>
  </r>
  <r>
    <n v="240001"/>
    <x v="35"/>
    <s v="AM"/>
    <x v="5"/>
    <s v="Ondo"/>
    <n v="230019"/>
    <s v="ogbeidefrancis"/>
    <n v="300910002"/>
    <x v="5"/>
    <n v="213000"/>
    <n v="54"/>
    <s v="Y"/>
    <n v="87"/>
    <n v="3"/>
    <n v="90"/>
    <n v="0.96"/>
    <n v="108000"/>
    <n v="16"/>
    <n v="13"/>
    <n v="3"/>
    <n v="34"/>
  </r>
  <r>
    <n v="270024"/>
    <x v="36"/>
    <s v="AM"/>
    <x v="0"/>
    <s v="Imo"/>
    <n v="95000205"/>
    <s v="Ogwuagba Chinomso Peace"/>
    <n v="400000122"/>
    <x v="0"/>
    <n v="227000"/>
    <n v="41"/>
    <s v="Y"/>
    <n v="97"/>
    <n v="25"/>
    <n v="122"/>
    <n v="0.63"/>
    <n v="122000"/>
    <n v="16"/>
    <n v="13"/>
    <n v="3"/>
    <n v="35"/>
  </r>
  <r>
    <n v="270037"/>
    <x v="37"/>
    <s v="AM"/>
    <x v="0"/>
    <s v="Imo"/>
    <n v="270001"/>
    <s v="Emmanuel Dominion"/>
    <n v="400000122"/>
    <x v="0"/>
    <n v="194800"/>
    <n v="65"/>
    <s v="Y"/>
    <n v="79"/>
    <n v="25"/>
    <n v="104"/>
    <n v="0.76"/>
    <n v="124800"/>
    <n v="13"/>
    <n v="11"/>
    <n v="2"/>
    <n v="71"/>
  </r>
  <r>
    <n v="270042"/>
    <x v="38"/>
    <s v="AM"/>
    <x v="0"/>
    <s v="Imo"/>
    <n v="95000205"/>
    <s v="Ogwuagba Chinomso Peace"/>
    <n v="400000122"/>
    <x v="0"/>
    <n v="141200"/>
    <n v="108"/>
    <s v="Y"/>
    <n v="62"/>
    <n v="27"/>
    <n v="89"/>
    <n v="0.59"/>
    <n v="71200"/>
    <n v="11"/>
    <n v="9"/>
    <n v="2"/>
    <n v="112"/>
  </r>
  <r>
    <n v="290083"/>
    <x v="39"/>
    <s v="AM"/>
    <x v="4"/>
    <s v="Kaduna"/>
    <n v="93200205"/>
    <s v="SANI.A HABIBAT"/>
    <n v="410000011"/>
    <x v="4"/>
    <n v="19600"/>
    <n v="256"/>
    <s v="N"/>
    <n v="10"/>
    <n v="16"/>
    <n v="26"/>
    <n v="0.42"/>
    <n v="15600"/>
    <n v="1"/>
    <n v="1"/>
    <n v="0"/>
    <n v="263"/>
  </r>
  <r>
    <n v="290085"/>
    <x v="40"/>
    <s v="AM"/>
    <x v="4"/>
    <s v="Kaduna"/>
    <n v="290013"/>
    <s v="Oseni Sanusi"/>
    <n v="410000011"/>
    <x v="4"/>
    <n v="24800"/>
    <n v="251"/>
    <s v="N"/>
    <n v="20"/>
    <n v="18"/>
    <n v="38"/>
    <n v="0.47"/>
    <n v="22800"/>
    <n v="2"/>
    <n v="2"/>
    <n v="0"/>
    <n v="250"/>
  </r>
  <r>
    <n v="300001"/>
    <x v="41"/>
    <s v="AM"/>
    <x v="4"/>
    <s v="Kano"/>
    <n v="9200010001"/>
    <s v="Azubuike Christopher Chidiebere"/>
    <n v="410000011"/>
    <x v="4"/>
    <n v="2000"/>
    <n v="270"/>
    <s v="N"/>
    <n v="25"/>
    <n v="16"/>
    <n v="41"/>
    <n v="0.31"/>
    <n v="0"/>
    <n v="2"/>
    <n v="3"/>
    <n v="0"/>
    <n v="251"/>
  </r>
  <r>
    <n v="300007"/>
    <x v="42"/>
    <s v="AM"/>
    <x v="4"/>
    <s v="Kano"/>
    <n v="9200010001"/>
    <s v="Azubuike Christopher Chidiebere"/>
    <n v="410000011"/>
    <x v="4"/>
    <n v="0"/>
    <n v="274"/>
    <s v="N"/>
    <n v="8"/>
    <n v="10"/>
    <n v="18"/>
    <n v="0.35"/>
    <n v="0"/>
    <n v="0"/>
    <n v="0"/>
    <n v="0"/>
    <n v="278"/>
  </r>
  <r>
    <n v="300330020"/>
    <x v="43"/>
    <s v="AM"/>
    <x v="1"/>
    <s v="Kwara"/>
    <n v="93000108"/>
    <s v="MASHOOD ABDULKAREEMM"/>
    <n v="300310001"/>
    <x v="1"/>
    <n v="284000"/>
    <n v="23"/>
    <s v="Y"/>
    <n v="86"/>
    <n v="19"/>
    <n v="105"/>
    <n v="0.65"/>
    <n v="105000"/>
    <n v="16"/>
    <n v="11"/>
    <n v="5"/>
    <n v="33"/>
  </r>
  <r>
    <n v="300740023"/>
    <x v="44"/>
    <s v="AM"/>
    <x v="1"/>
    <s v="Kogi"/>
    <n v="300710002"/>
    <s v="Iortyer bishop joseph"/>
    <n v="300310001"/>
    <x v="1"/>
    <n v="66000"/>
    <n v="210"/>
    <s v="N"/>
    <n v="36"/>
    <n v="19"/>
    <n v="55"/>
    <n v="0.36"/>
    <n v="0"/>
    <n v="8"/>
    <n v="4"/>
    <n v="4"/>
    <n v="161"/>
  </r>
  <r>
    <n v="301230017"/>
    <x v="45"/>
    <s v="AM"/>
    <x v="2"/>
    <s v="Edo"/>
    <n v="230046"/>
    <s v="Otoikhian Joshua Oziegbe"/>
    <n v="210001"/>
    <x v="2"/>
    <n v="69000"/>
    <n v="206"/>
    <s v="N"/>
    <n v="37"/>
    <n v="26"/>
    <n v="63"/>
    <n v="0.63"/>
    <n v="63000"/>
    <n v="3"/>
    <n v="12"/>
    <n v="0"/>
    <n v="240"/>
  </r>
  <r>
    <n v="301230116"/>
    <x v="46"/>
    <s v="AM"/>
    <x v="2"/>
    <s v="Edo"/>
    <n v="230046"/>
    <s v="Otoikhian Joshua Oziegbe"/>
    <n v="210001"/>
    <x v="2"/>
    <n v="238000"/>
    <n v="38"/>
    <s v="Y"/>
    <n v="78"/>
    <n v="38"/>
    <n v="116"/>
    <n v="0.65"/>
    <n v="116000"/>
    <n v="14"/>
    <n v="6"/>
    <n v="8"/>
    <n v="56"/>
  </r>
  <r>
    <n v="301230117"/>
    <x v="47"/>
    <s v="AM"/>
    <x v="2"/>
    <s v="Edo"/>
    <n v="230003"/>
    <s v="Emenogu Peterclave"/>
    <n v="210001"/>
    <x v="2"/>
    <n v="159200"/>
    <n v="86"/>
    <s v="Y"/>
    <n v="58"/>
    <n v="29"/>
    <n v="87"/>
    <n v="0.44"/>
    <n v="52200"/>
    <n v="9"/>
    <n v="2"/>
    <n v="7"/>
    <n v="137"/>
  </r>
  <r>
    <n v="301230118"/>
    <x v="48"/>
    <s v="AM"/>
    <x v="2"/>
    <s v="Edo"/>
    <n v="230046"/>
    <s v="Otoikhian Joshua Oziegbe"/>
    <n v="210001"/>
    <x v="2"/>
    <n v="121000"/>
    <n v="140"/>
    <s v="Y"/>
    <n v="22"/>
    <n v="24"/>
    <n v="46"/>
    <n v="0.6"/>
    <n v="46000"/>
    <n v="7"/>
    <n v="2"/>
    <n v="5"/>
    <n v="170"/>
  </r>
  <r>
    <n v="301230153"/>
    <x v="49"/>
    <s v="AM"/>
    <x v="2"/>
    <s v="Edo"/>
    <n v="230003"/>
    <s v="Emenogu Peterclave"/>
    <n v="210001"/>
    <x v="2"/>
    <n v="127000"/>
    <n v="130"/>
    <s v="Y"/>
    <n v="33"/>
    <n v="19"/>
    <n v="52"/>
    <n v="0.63"/>
    <n v="52000"/>
    <n v="7"/>
    <n v="4"/>
    <n v="3"/>
    <n v="177"/>
  </r>
  <r>
    <n v="301230170"/>
    <x v="50"/>
    <s v="AM"/>
    <x v="2"/>
    <s v="Edo"/>
    <n v="230003"/>
    <s v="Emenogu Peterclave"/>
    <n v="210001"/>
    <x v="2"/>
    <n v="0"/>
    <n v="274"/>
    <s v="N"/>
    <n v="1"/>
    <n v="0"/>
    <n v="1"/>
    <n v="0"/>
    <n v="0"/>
    <n v="0"/>
    <n v="0"/>
    <n v="0"/>
    <n v="289"/>
  </r>
  <r>
    <n v="30124007"/>
    <x v="51"/>
    <s v="AM"/>
    <x v="2"/>
    <s v="Edo"/>
    <n v="230003"/>
    <s v="Emenogu Peterclave"/>
    <n v="210001"/>
    <x v="2"/>
    <n v="42200"/>
    <n v="236"/>
    <s v="N"/>
    <n v="19"/>
    <n v="23"/>
    <n v="42"/>
    <n v="0.41"/>
    <n v="25200"/>
    <n v="3"/>
    <n v="2"/>
    <n v="1"/>
    <n v="235"/>
  </r>
  <r>
    <n v="302140076"/>
    <x v="52"/>
    <s v="AM"/>
    <x v="5"/>
    <s v="Oyo"/>
    <n v="96200201"/>
    <s v="OZAH RITA NKEMDILIM"/>
    <n v="300910002"/>
    <x v="5"/>
    <n v="157800"/>
    <n v="88"/>
    <s v="Y"/>
    <n v="93"/>
    <n v="63"/>
    <n v="156"/>
    <n v="0.54"/>
    <n v="124800"/>
    <n v="17"/>
    <n v="12"/>
    <n v="5"/>
    <n v="27"/>
  </r>
  <r>
    <n v="302330020"/>
    <x v="53"/>
    <s v="AM"/>
    <x v="1"/>
    <s v="FCT"/>
    <n v="302320002"/>
    <s v="Derek Olanrewaju Alana"/>
    <n v="300310001"/>
    <x v="1"/>
    <n v="197000"/>
    <n v="62"/>
    <s v="Y"/>
    <n v="49"/>
    <n v="56"/>
    <n v="105"/>
    <n v="0.51"/>
    <n v="84000"/>
    <n v="11"/>
    <n v="8"/>
    <n v="3"/>
    <n v="97"/>
  </r>
  <r>
    <n v="302330027"/>
    <x v="54"/>
    <s v="AM"/>
    <x v="1"/>
    <s v="FCT"/>
    <n v="93200201"/>
    <s v="Ibekwe Stanley O"/>
    <n v="300310001"/>
    <x v="1"/>
    <n v="83000"/>
    <n v="191"/>
    <s v="N"/>
    <n v="46"/>
    <n v="39"/>
    <n v="85"/>
    <n v="0.49"/>
    <n v="51000"/>
    <n v="9"/>
    <n v="3"/>
    <n v="6"/>
    <n v="133"/>
  </r>
  <r>
    <n v="302430049"/>
    <x v="55"/>
    <s v="AM"/>
    <x v="4"/>
    <s v="Kano"/>
    <n v="920001000"/>
    <s v="Abdulkadir Aliyu"/>
    <n v="410000011"/>
    <x v="4"/>
    <n v="40200"/>
    <n v="238"/>
    <s v="N"/>
    <n v="29"/>
    <n v="28"/>
    <n v="57"/>
    <n v="0.42"/>
    <n v="34200"/>
    <n v="3"/>
    <n v="6"/>
    <n v="0"/>
    <n v="241"/>
  </r>
  <r>
    <n v="303740083"/>
    <x v="56"/>
    <s v="AM"/>
    <x v="1"/>
    <s v="Kogi"/>
    <n v="300710002"/>
    <s v="Iortyer bishop joseph"/>
    <n v="300310001"/>
    <x v="1"/>
    <n v="305000"/>
    <n v="18"/>
    <s v="Y"/>
    <n v="105"/>
    <n v="25"/>
    <n v="130"/>
    <n v="0.68"/>
    <n v="130000"/>
    <n v="20"/>
    <n v="15"/>
    <n v="5"/>
    <n v="18"/>
  </r>
  <r>
    <n v="307330045"/>
    <x v="57"/>
    <s v="AM"/>
    <x v="1"/>
    <s v="Nassarawa"/>
    <n v="92200201"/>
    <s v="IBRAHIM MOHAMMED"/>
    <n v="300310001"/>
    <x v="1"/>
    <n v="215800"/>
    <n v="52"/>
    <s v="Y"/>
    <n v="75"/>
    <n v="14"/>
    <n v="89"/>
    <n v="0.81"/>
    <n v="106800"/>
    <n v="15"/>
    <n v="12"/>
    <n v="3"/>
    <n v="44"/>
  </r>
  <r>
    <n v="307330078"/>
    <x v="58"/>
    <s v="AM"/>
    <x v="6"/>
    <s v="Borno"/>
    <n v="92000154"/>
    <s v="Nafiu Sani Ibrahim"/>
    <n v="302010269"/>
    <x v="6"/>
    <n v="127800"/>
    <n v="129"/>
    <s v="Y"/>
    <n v="37"/>
    <n v="24"/>
    <n v="61"/>
    <n v="0.53"/>
    <n v="48800"/>
    <n v="6"/>
    <n v="1"/>
    <n v="5"/>
    <n v="196"/>
  </r>
  <r>
    <n v="309030103"/>
    <x v="59"/>
    <s v="AM"/>
    <x v="6"/>
    <s v="Taraba"/>
    <n v="92000112"/>
    <s v="RASHIDA SHITTU"/>
    <n v="302010269"/>
    <x v="6"/>
    <n v="116800"/>
    <n v="142"/>
    <s v="Y"/>
    <n v="36"/>
    <n v="35"/>
    <n v="71"/>
    <n v="0.55000000000000004"/>
    <n v="56800"/>
    <n v="7"/>
    <n v="3"/>
    <n v="4"/>
    <n v="182"/>
  </r>
  <r>
    <n v="309430060"/>
    <x v="60"/>
    <s v="AM"/>
    <x v="6"/>
    <s v="Borno"/>
    <n v="92000154"/>
    <s v="Nafiu Sani Ibrahim"/>
    <n v="302010269"/>
    <x v="6"/>
    <n v="68000"/>
    <n v="208"/>
    <s v="N"/>
    <n v="36"/>
    <n v="17"/>
    <n v="53"/>
    <n v="0.65"/>
    <n v="53000"/>
    <n v="5"/>
    <n v="2"/>
    <n v="3"/>
    <n v="207"/>
  </r>
  <r>
    <n v="340000"/>
    <x v="61"/>
    <s v="AM"/>
    <x v="1"/>
    <s v="Kwara"/>
    <n v="93000108"/>
    <s v="MASHOOD ABDULKAREEMM"/>
    <n v="300310001"/>
    <x v="1"/>
    <n v="109000"/>
    <n v="161"/>
    <s v="Y"/>
    <n v="17"/>
    <n v="53"/>
    <n v="70"/>
    <n v="0.81"/>
    <n v="84000"/>
    <n v="11"/>
    <n v="10"/>
    <n v="1"/>
    <n v="100"/>
  </r>
  <r>
    <n v="340001"/>
    <x v="62"/>
    <s v="AM"/>
    <x v="1"/>
    <s v="Kwara"/>
    <n v="93000108"/>
    <s v="MASHOOD ABDULKAREEMM"/>
    <n v="300310001"/>
    <x v="1"/>
    <n v="211000"/>
    <n v="55"/>
    <s v="Y"/>
    <n v="53"/>
    <n v="17"/>
    <n v="70"/>
    <n v="0.84"/>
    <n v="84000"/>
    <n v="11"/>
    <n v="6"/>
    <n v="5"/>
    <n v="109"/>
  </r>
  <r>
    <n v="3500000008"/>
    <x v="63"/>
    <s v="AM"/>
    <x v="3"/>
    <s v="Lagos-c"/>
    <n v="350129"/>
    <s v="STEPHEN EGBE"/>
    <n v="410000010"/>
    <x v="3"/>
    <n v="114800"/>
    <n v="146"/>
    <s v="Y"/>
    <n v="43"/>
    <n v="20"/>
    <n v="63"/>
    <n v="0.46"/>
    <n v="37800"/>
    <n v="9"/>
    <n v="6"/>
    <n v="3"/>
    <n v="150"/>
  </r>
  <r>
    <n v="350000001"/>
    <x v="64"/>
    <s v="AM"/>
    <x v="3"/>
    <s v="Lagos-c"/>
    <n v="350129"/>
    <s v="STEPHEN EGBE"/>
    <n v="410000010"/>
    <x v="3"/>
    <n v="31600"/>
    <n v="247"/>
    <s v="N"/>
    <n v="24"/>
    <n v="17"/>
    <n v="41"/>
    <n v="0.42"/>
    <n v="24600"/>
    <n v="3"/>
    <n v="2"/>
    <n v="1"/>
    <n v="237"/>
  </r>
  <r>
    <n v="3500000011"/>
    <x v="65"/>
    <s v="AM"/>
    <x v="3"/>
    <s v="Lagos-3"/>
    <n v="350020"/>
    <s v="Ibekwe Chinonye Sabinus"/>
    <n v="410000010"/>
    <x v="3"/>
    <n v="267600"/>
    <n v="30"/>
    <s v="Y"/>
    <n v="131"/>
    <n v="16"/>
    <n v="147"/>
    <n v="0.57999999999999996"/>
    <n v="117600"/>
    <n v="11"/>
    <n v="5"/>
    <n v="6"/>
    <n v="107"/>
  </r>
  <r>
    <n v="350000002"/>
    <x v="66"/>
    <s v="AM"/>
    <x v="3"/>
    <s v="Lagos-5"/>
    <n v="350032"/>
    <s v="Okoi Lucky Sunday"/>
    <n v="410000010"/>
    <x v="3"/>
    <n v="51000"/>
    <n v="223"/>
    <s v="N"/>
    <n v="15"/>
    <n v="15"/>
    <n v="30"/>
    <n v="0.71"/>
    <n v="36000"/>
    <n v="3"/>
    <n v="2"/>
    <n v="1"/>
    <n v="247"/>
  </r>
  <r>
    <n v="350000003"/>
    <x v="67"/>
    <s v="AM"/>
    <x v="3"/>
    <s v="Lagos-5"/>
    <n v="350032"/>
    <s v="Okoi Lucky Sunday"/>
    <n v="410000010"/>
    <x v="3"/>
    <n v="141400"/>
    <n v="107"/>
    <s v="Y"/>
    <n v="66"/>
    <n v="31"/>
    <n v="97"/>
    <n v="0.71"/>
    <n v="116400"/>
    <n v="4"/>
    <n v="3"/>
    <n v="1"/>
    <n v="232"/>
  </r>
  <r>
    <n v="350000005"/>
    <x v="68"/>
    <s v="AM"/>
    <x v="3"/>
    <s v="Lagos-c"/>
    <n v="350129"/>
    <s v="STEPHEN EGBE"/>
    <n v="410000010"/>
    <x v="3"/>
    <n v="218400"/>
    <n v="47"/>
    <s v="Y"/>
    <n v="60"/>
    <n v="38"/>
    <n v="98"/>
    <n v="0.51"/>
    <n v="78400"/>
    <n v="9"/>
    <n v="5"/>
    <n v="4"/>
    <n v="152"/>
  </r>
  <r>
    <n v="350000007"/>
    <x v="69"/>
    <s v="AM"/>
    <x v="3"/>
    <s v="Lagos-c"/>
    <n v="350129"/>
    <s v="STEPHEN EGBE"/>
    <n v="410000010"/>
    <x v="3"/>
    <n v="24600"/>
    <n v="252"/>
    <s v="N"/>
    <n v="23"/>
    <n v="18"/>
    <n v="41"/>
    <n v="0.47"/>
    <n v="24600"/>
    <n v="2"/>
    <n v="6"/>
    <n v="0"/>
    <n v="259"/>
  </r>
  <r>
    <n v="350000009"/>
    <x v="70"/>
    <s v="AM"/>
    <x v="3"/>
    <s v="Lagos-3"/>
    <n v="350020"/>
    <s v="Ibekwe Chinonye Sabinus"/>
    <n v="410000010"/>
    <x v="3"/>
    <n v="101000"/>
    <n v="173"/>
    <s v="Y"/>
    <n v="55"/>
    <n v="20"/>
    <n v="75"/>
    <n v="0.47"/>
    <n v="45000"/>
    <n v="8"/>
    <n v="6"/>
    <n v="2"/>
    <n v="158"/>
  </r>
  <r>
    <n v="350000010"/>
    <x v="71"/>
    <s v="AM"/>
    <x v="3"/>
    <s v="Lagos-3"/>
    <n v="350020"/>
    <s v="Ibekwe Chinonye Sabinus"/>
    <n v="410000010"/>
    <x v="3"/>
    <n v="179000"/>
    <n v="71"/>
    <s v="Y"/>
    <n v="69"/>
    <n v="32"/>
    <n v="101"/>
    <n v="0.6"/>
    <n v="101000"/>
    <n v="9"/>
    <n v="7"/>
    <n v="2"/>
    <n v="140"/>
  </r>
  <r>
    <n v="350005"/>
    <x v="72"/>
    <s v="AM"/>
    <x v="3"/>
    <s v="Lagos-E"/>
    <n v="350032"/>
    <s v="Okoi Lucky Sunday"/>
    <n v="410000010"/>
    <x v="3"/>
    <n v="100200"/>
    <n v="174"/>
    <s v="Y"/>
    <n v="28"/>
    <n v="29"/>
    <n v="57"/>
    <n v="0.45"/>
    <n v="34200"/>
    <n v="7"/>
    <n v="3"/>
    <n v="4"/>
    <n v="174"/>
  </r>
  <r>
    <n v="350015"/>
    <x v="73"/>
    <s v="AM"/>
    <x v="3"/>
    <s v="Lagos-E"/>
    <n v="350032"/>
    <s v="Okoi Lucky Sunday"/>
    <n v="410000010"/>
    <x v="3"/>
    <n v="113200"/>
    <n v="151"/>
    <s v="Y"/>
    <n v="35"/>
    <n v="22"/>
    <n v="57"/>
    <n v="0.46"/>
    <n v="34200"/>
    <n v="7"/>
    <n v="2"/>
    <n v="5"/>
    <n v="176"/>
  </r>
  <r>
    <n v="350057"/>
    <x v="74"/>
    <s v="AM"/>
    <x v="3"/>
    <s v="Lagos-E"/>
    <n v="350032"/>
    <s v="Okoi Lucky Sunday"/>
    <n v="410000010"/>
    <x v="3"/>
    <n v="60200"/>
    <n v="218"/>
    <s v="N"/>
    <n v="31"/>
    <n v="16"/>
    <n v="47"/>
    <n v="0.45"/>
    <n v="28200"/>
    <n v="4"/>
    <n v="2"/>
    <n v="2"/>
    <n v="228"/>
  </r>
  <r>
    <n v="350065"/>
    <x v="75"/>
    <s v="AM"/>
    <x v="3"/>
    <s v="Lagos-E"/>
    <n v="91000115"/>
    <s v="Yusuff Wasiu Ayoade"/>
    <n v="410000010"/>
    <x v="3"/>
    <n v="224800"/>
    <n v="43"/>
    <s v="Y"/>
    <n v="61"/>
    <n v="8"/>
    <n v="69"/>
    <n v="0.77"/>
    <n v="82800"/>
    <n v="13"/>
    <n v="9"/>
    <n v="4"/>
    <n v="77"/>
  </r>
  <r>
    <n v="380007"/>
    <x v="76"/>
    <s v="AM"/>
    <x v="5"/>
    <s v="Ogun"/>
    <n v="380025"/>
    <s v="abrahamoluwasegun"/>
    <n v="300910002"/>
    <x v="5"/>
    <n v="46000"/>
    <n v="231"/>
    <s v="N"/>
    <n v="28"/>
    <n v="27"/>
    <n v="55"/>
    <n v="0.53"/>
    <n v="44000"/>
    <n v="3"/>
    <n v="11"/>
    <n v="0"/>
    <n v="244"/>
  </r>
  <r>
    <n v="380011"/>
    <x v="77"/>
    <s v="AM"/>
    <x v="5"/>
    <s v="Ogun"/>
    <n v="380025"/>
    <s v="abrahamoluwasegun"/>
    <n v="300910002"/>
    <x v="5"/>
    <n v="111600"/>
    <n v="157"/>
    <s v="Y"/>
    <n v="69"/>
    <n v="24"/>
    <n v="93"/>
    <n v="0.72"/>
    <n v="111600"/>
    <n v="9"/>
    <n v="13"/>
    <n v="0"/>
    <n v="146"/>
  </r>
  <r>
    <n v="380028"/>
    <x v="78"/>
    <s v="AM"/>
    <x v="5"/>
    <s v="Ogun"/>
    <n v="380025"/>
    <s v="abrahamoluwasegun"/>
    <n v="300910002"/>
    <x v="5"/>
    <n v="78000"/>
    <n v="196"/>
    <s v="N"/>
    <n v="42"/>
    <n v="18"/>
    <n v="60"/>
    <n v="0.74"/>
    <n v="72000"/>
    <n v="6"/>
    <n v="8"/>
    <n v="0"/>
    <n v="203"/>
  </r>
  <r>
    <n v="380041"/>
    <x v="79"/>
    <s v="AM"/>
    <x v="5"/>
    <s v="Ogun"/>
    <n v="380025"/>
    <s v="abrahamoluwasegun"/>
    <n v="300910002"/>
    <x v="5"/>
    <n v="90000"/>
    <n v="185"/>
    <s v="N"/>
    <n v="15"/>
    <n v="28"/>
    <n v="43"/>
    <n v="0.64"/>
    <n v="43000"/>
    <n v="5"/>
    <n v="2"/>
    <n v="3"/>
    <n v="212"/>
  </r>
  <r>
    <n v="380044"/>
    <x v="80"/>
    <s v="AM"/>
    <x v="5"/>
    <s v="Ogun"/>
    <n v="380025"/>
    <s v="abrahamoluwasegun"/>
    <n v="300910002"/>
    <x v="5"/>
    <n v="14000"/>
    <n v="259"/>
    <s v="N"/>
    <n v="18"/>
    <n v="51"/>
    <n v="69"/>
    <n v="0.4"/>
    <n v="0"/>
    <n v="7"/>
    <n v="7"/>
    <n v="0"/>
    <n v="169"/>
  </r>
  <r>
    <n v="390004"/>
    <x v="81"/>
    <s v="AM"/>
    <x v="5"/>
    <s v="Ondo"/>
    <n v="230019"/>
    <s v="ogbeidefrancis"/>
    <n v="300910002"/>
    <x v="5"/>
    <n v="278000"/>
    <n v="25"/>
    <s v="Y"/>
    <n v="174"/>
    <n v="63"/>
    <n v="237"/>
    <n v="0.7"/>
    <n v="237000"/>
    <n v="29"/>
    <n v="28"/>
    <n v="1"/>
    <n v="3"/>
  </r>
  <r>
    <n v="390008"/>
    <x v="82"/>
    <s v="AM"/>
    <x v="5"/>
    <s v="Ondo"/>
    <n v="230019"/>
    <s v="ogbeidefrancis"/>
    <n v="300910002"/>
    <x v="5"/>
    <n v="284800"/>
    <n v="22"/>
    <s v="Y"/>
    <n v="85"/>
    <n v="24"/>
    <n v="109"/>
    <n v="0.75"/>
    <n v="130800"/>
    <n v="15"/>
    <n v="5"/>
    <n v="10"/>
    <n v="45"/>
  </r>
  <r>
    <n v="410018"/>
    <x v="83"/>
    <s v="AM"/>
    <x v="5"/>
    <s v="Oyo"/>
    <n v="380040"/>
    <s v="anthonyakleche"/>
    <n v="300910002"/>
    <x v="5"/>
    <n v="88800"/>
    <n v="186"/>
    <s v="N"/>
    <n v="61"/>
    <n v="13"/>
    <n v="74"/>
    <n v="0.73"/>
    <n v="88800"/>
    <n v="6"/>
    <n v="13"/>
    <n v="0"/>
    <n v="197"/>
  </r>
  <r>
    <n v="410032"/>
    <x v="84"/>
    <s v="AM"/>
    <x v="5"/>
    <s v="Oyo"/>
    <n v="380040"/>
    <s v="anthonyakleche"/>
    <n v="300910002"/>
    <x v="5"/>
    <n v="68400"/>
    <n v="207"/>
    <s v="N"/>
    <n v="60"/>
    <n v="23"/>
    <n v="83"/>
    <n v="0.56000000000000005"/>
    <n v="66400"/>
    <n v="8"/>
    <n v="11"/>
    <n v="0"/>
    <n v="154"/>
  </r>
  <r>
    <n v="410039"/>
    <x v="85"/>
    <s v="AM"/>
    <x v="5"/>
    <s v="Oyo"/>
    <n v="380040"/>
    <s v="anthonyakleche"/>
    <n v="300910002"/>
    <x v="5"/>
    <n v="159200"/>
    <n v="86"/>
    <s v="Y"/>
    <n v="110"/>
    <n v="24"/>
    <n v="134"/>
    <n v="0.59"/>
    <n v="107200"/>
    <n v="15"/>
    <n v="13"/>
    <n v="2"/>
    <n v="42"/>
  </r>
  <r>
    <n v="410044"/>
    <x v="86"/>
    <s v="AM"/>
    <x v="5"/>
    <s v="Oyo"/>
    <n v="380040"/>
    <s v="anthonyakleche"/>
    <n v="300910002"/>
    <x v="5"/>
    <n v="198400"/>
    <n v="60"/>
    <s v="Y"/>
    <n v="101"/>
    <n v="48"/>
    <n v="149"/>
    <n v="0.44"/>
    <n v="89400"/>
    <n v="13"/>
    <n v="10"/>
    <n v="3"/>
    <n v="76"/>
  </r>
  <r>
    <n v="410046"/>
    <x v="87"/>
    <s v="AM"/>
    <x v="5"/>
    <s v="Oyo"/>
    <n v="380040"/>
    <s v="anthonyakleche"/>
    <n v="300910002"/>
    <x v="5"/>
    <n v="218000"/>
    <n v="48"/>
    <s v="Y"/>
    <n v="76"/>
    <n v="20"/>
    <n v="96"/>
    <n v="0.63"/>
    <n v="96000"/>
    <n v="13"/>
    <n v="5"/>
    <n v="8"/>
    <n v="79"/>
  </r>
  <r>
    <n v="410047"/>
    <x v="88"/>
    <s v="AM"/>
    <x v="5"/>
    <s v="Oyo"/>
    <n v="380040"/>
    <s v="anthonyakleche"/>
    <n v="300910002"/>
    <x v="5"/>
    <n v="248600"/>
    <n v="34"/>
    <s v="Y"/>
    <n v="104"/>
    <n v="9"/>
    <n v="113"/>
    <n v="0.82"/>
    <n v="135600"/>
    <n v="14"/>
    <n v="11"/>
    <n v="3"/>
    <n v="57"/>
  </r>
  <r>
    <n v="4300000079"/>
    <x v="89"/>
    <s v="AM"/>
    <x v="2"/>
    <s v="Rivers"/>
    <n v="430032"/>
    <s v="chukwudiugbaja"/>
    <n v="210001"/>
    <x v="2"/>
    <n v="0"/>
    <n v="274"/>
    <s v="N"/>
    <n v="0"/>
    <n v="0"/>
    <n v="0"/>
    <n v="0"/>
    <n v="0"/>
    <n v="0"/>
    <n v="0"/>
    <n v="0"/>
    <n v="279"/>
  </r>
  <r>
    <n v="430000078"/>
    <x v="90"/>
    <s v="AM"/>
    <x v="2"/>
    <s v="Rivers"/>
    <n v="430032"/>
    <s v="chukwudiugbaja"/>
    <n v="210001"/>
    <x v="2"/>
    <n v="36000"/>
    <n v="241"/>
    <s v="N"/>
    <n v="15"/>
    <n v="30"/>
    <n v="45"/>
    <n v="0.53"/>
    <n v="36000"/>
    <n v="5"/>
    <n v="5"/>
    <n v="0"/>
    <n v="209"/>
  </r>
  <r>
    <n v="430034"/>
    <x v="91"/>
    <s v="AM"/>
    <x v="2"/>
    <s v="Rivers"/>
    <n v="430032"/>
    <s v="chukwudiugbaja"/>
    <n v="210001"/>
    <x v="2"/>
    <n v="76000"/>
    <n v="199"/>
    <s v="N"/>
    <n v="42"/>
    <n v="30"/>
    <n v="72"/>
    <n v="0.62"/>
    <n v="72000"/>
    <n v="10"/>
    <n v="12"/>
    <n v="0"/>
    <n v="127"/>
  </r>
  <r>
    <n v="430059"/>
    <x v="92"/>
    <s v="AM"/>
    <x v="2"/>
    <s v="Rivers"/>
    <n v="430032"/>
    <s v="chukwudiugbaja"/>
    <n v="210001"/>
    <x v="2"/>
    <n v="84000"/>
    <n v="189"/>
    <s v="N"/>
    <n v="53"/>
    <n v="22"/>
    <n v="75"/>
    <n v="0.46"/>
    <n v="45000"/>
    <n v="10"/>
    <n v="9"/>
    <n v="1"/>
    <n v="123"/>
  </r>
  <r>
    <n v="430062"/>
    <x v="93"/>
    <s v="AM"/>
    <x v="2"/>
    <s v="Rivers"/>
    <n v="430027"/>
    <s v="adeyemidavid"/>
    <n v="210001"/>
    <x v="2"/>
    <n v="129800"/>
    <n v="127"/>
    <s v="Y"/>
    <n v="58"/>
    <n v="48"/>
    <n v="106"/>
    <n v="0.56999999999999995"/>
    <n v="84800"/>
    <n v="14"/>
    <n v="13"/>
    <n v="1"/>
    <n v="59"/>
  </r>
  <r>
    <n v="430071"/>
    <x v="94"/>
    <s v="AM"/>
    <x v="2"/>
    <s v="Akwa Ibom"/>
    <n v="95200205"/>
    <s v="Idaraobong Utip"/>
    <n v="210001"/>
    <x v="2"/>
    <n v="50400"/>
    <n v="225"/>
    <s v="N"/>
    <n v="20"/>
    <n v="22"/>
    <n v="42"/>
    <n v="0.72"/>
    <n v="50400"/>
    <n v="2"/>
    <n v="16"/>
    <n v="0"/>
    <n v="256"/>
  </r>
  <r>
    <n v="430072"/>
    <x v="95"/>
    <s v="AM"/>
    <x v="2"/>
    <s v="Akwa Ibom"/>
    <n v="95200205"/>
    <s v="Idaraobong Utip"/>
    <n v="210001"/>
    <x v="2"/>
    <n v="79800"/>
    <n v="195"/>
    <s v="N"/>
    <n v="55"/>
    <n v="26"/>
    <n v="81"/>
    <n v="0.51"/>
    <n v="64800"/>
    <n v="9"/>
    <n v="8"/>
    <n v="1"/>
    <n v="136"/>
  </r>
  <r>
    <n v="430075"/>
    <x v="96"/>
    <s v="AM"/>
    <x v="2"/>
    <s v="Rivers"/>
    <n v="2101070003"/>
    <s v="Daniel Akoh"/>
    <n v="210001"/>
    <x v="2"/>
    <n v="141000"/>
    <n v="109"/>
    <s v="Y"/>
    <n v="34"/>
    <n v="46"/>
    <n v="80"/>
    <n v="0.51"/>
    <n v="64000"/>
    <n v="10"/>
    <n v="5"/>
    <n v="5"/>
    <n v="120"/>
  </r>
  <r>
    <n v="430076"/>
    <x v="97"/>
    <s v="AM"/>
    <x v="2"/>
    <s v="Rivers"/>
    <n v="430032"/>
    <s v="chukwudiugbaja"/>
    <n v="210001"/>
    <x v="2"/>
    <n v="216800"/>
    <n v="50"/>
    <s v="Y"/>
    <n v="93"/>
    <n v="70"/>
    <n v="163"/>
    <n v="0.48"/>
    <n v="97800"/>
    <n v="13"/>
    <n v="10"/>
    <n v="3"/>
    <n v="72"/>
  </r>
  <r>
    <n v="430077"/>
    <x v="98"/>
    <s v="AM"/>
    <x v="2"/>
    <s v="Rivers"/>
    <n v="2101070003"/>
    <s v="Daniel Akoh"/>
    <n v="210001"/>
    <x v="2"/>
    <n v="104400"/>
    <n v="168"/>
    <s v="Y"/>
    <n v="32"/>
    <n v="46"/>
    <n v="78"/>
    <n v="0.51"/>
    <n v="62400"/>
    <n v="10"/>
    <n v="8"/>
    <n v="2"/>
    <n v="117"/>
  </r>
  <r>
    <n v="900000203"/>
    <x v="99"/>
    <s v="AM"/>
    <x v="1"/>
    <s v="Benue"/>
    <n v="301310005"/>
    <s v="Abena Peter Emmanuel"/>
    <n v="300310001"/>
    <x v="1"/>
    <n v="288400"/>
    <n v="20"/>
    <s v="Y"/>
    <n v="102"/>
    <n v="20"/>
    <n v="122"/>
    <n v="0.81"/>
    <n v="146400"/>
    <n v="21"/>
    <n v="17"/>
    <n v="4"/>
    <n v="14"/>
  </r>
  <r>
    <n v="900000205"/>
    <x v="100"/>
    <s v="AM"/>
    <x v="1"/>
    <s v="Benue"/>
    <n v="301310005"/>
    <s v="Abena Peter Emmanuel"/>
    <n v="300310001"/>
    <x v="1"/>
    <n v="197400"/>
    <n v="61"/>
    <s v="Y"/>
    <n v="72"/>
    <n v="5"/>
    <n v="77"/>
    <n v="0.82"/>
    <n v="92400"/>
    <n v="14"/>
    <n v="11"/>
    <n v="3"/>
    <n v="47"/>
  </r>
  <r>
    <n v="90000118"/>
    <x v="101"/>
    <s v="AM"/>
    <x v="1"/>
    <s v="Benue"/>
    <n v="301310005"/>
    <s v="Abena Peter Emmanuel"/>
    <n v="300310001"/>
    <x v="1"/>
    <n v="154000"/>
    <n v="92"/>
    <s v="Y"/>
    <n v="58"/>
    <n v="19"/>
    <n v="77"/>
    <n v="0.63"/>
    <n v="77000"/>
    <n v="11"/>
    <n v="8"/>
    <n v="3"/>
    <n v="89"/>
  </r>
  <r>
    <n v="90000119"/>
    <x v="102"/>
    <s v="AM"/>
    <x v="1"/>
    <s v="Benue"/>
    <n v="301310005"/>
    <s v="Abena Peter Emmanuel"/>
    <n v="300310001"/>
    <x v="1"/>
    <n v="176200"/>
    <n v="73"/>
    <s v="Y"/>
    <n v="65"/>
    <n v="19"/>
    <n v="84"/>
    <n v="0.52"/>
    <n v="67200"/>
    <n v="11"/>
    <n v="8"/>
    <n v="3"/>
    <n v="94"/>
  </r>
  <r>
    <n v="910000300"/>
    <x v="103"/>
    <s v="AM"/>
    <x v="3"/>
    <s v="Lagos-D"/>
    <n v="350003"/>
    <s v="oparasamuelifeanyi"/>
    <n v="410000010"/>
    <x v="3"/>
    <n v="220000"/>
    <n v="45"/>
    <s v="Y"/>
    <n v="89"/>
    <n v="35"/>
    <n v="124"/>
    <n v="0.61"/>
    <n v="124000"/>
    <n v="14"/>
    <n v="8"/>
    <n v="6"/>
    <n v="48"/>
  </r>
  <r>
    <n v="910000301"/>
    <x v="104"/>
    <s v="AM"/>
    <x v="3"/>
    <s v="Lagos-D"/>
    <n v="350003"/>
    <s v="oparasamuelifeanyi"/>
    <n v="410000010"/>
    <x v="3"/>
    <n v="114000"/>
    <n v="147"/>
    <s v="Y"/>
    <n v="72"/>
    <n v="23"/>
    <n v="95"/>
    <n v="0.74"/>
    <n v="114000"/>
    <n v="13"/>
    <n v="13"/>
    <n v="0"/>
    <n v="66"/>
  </r>
  <r>
    <n v="910000302"/>
    <x v="105"/>
    <s v="AM"/>
    <x v="3"/>
    <s v="Lagos-D"/>
    <n v="350003"/>
    <s v="oparasamuelifeanyi"/>
    <n v="410000010"/>
    <x v="3"/>
    <n v="247000"/>
    <n v="35"/>
    <s v="Y"/>
    <n v="98"/>
    <n v="42"/>
    <n v="140"/>
    <n v="0.69"/>
    <n v="140000"/>
    <n v="20"/>
    <n v="17"/>
    <n v="3"/>
    <n v="19"/>
  </r>
  <r>
    <n v="91000118"/>
    <x v="106"/>
    <s v="AM"/>
    <x v="3"/>
    <s v="Lagos-D"/>
    <n v="350003"/>
    <s v="oparasamuelifeanyi"/>
    <n v="410000010"/>
    <x v="3"/>
    <n v="143200"/>
    <n v="103"/>
    <s v="Y"/>
    <n v="95"/>
    <n v="39"/>
    <n v="134"/>
    <n v="0.54"/>
    <n v="107200"/>
    <n v="9"/>
    <n v="7"/>
    <n v="2"/>
    <n v="148"/>
  </r>
  <r>
    <n v="91000123"/>
    <x v="107"/>
    <s v="AM"/>
    <x v="3"/>
    <s v="Lagos-A"/>
    <n v="91200201"/>
    <s v="Ojo Oluwamodupe"/>
    <n v="410000010"/>
    <x v="3"/>
    <n v="115200"/>
    <n v="144"/>
    <s v="Y"/>
    <n v="41"/>
    <n v="23"/>
    <n v="64"/>
    <n v="0.5"/>
    <n v="51200"/>
    <n v="7"/>
    <n v="5"/>
    <n v="2"/>
    <n v="179"/>
  </r>
  <r>
    <n v="91000125"/>
    <x v="108"/>
    <s v="AM"/>
    <x v="3"/>
    <s v="Lagos-D"/>
    <n v="350003"/>
    <s v="oparasamuelifeanyi"/>
    <n v="410000010"/>
    <x v="3"/>
    <n v="124000"/>
    <n v="137"/>
    <s v="Y"/>
    <n v="44"/>
    <n v="36"/>
    <n v="80"/>
    <n v="0.41"/>
    <n v="48000"/>
    <n v="9"/>
    <n v="7"/>
    <n v="2"/>
    <n v="144"/>
  </r>
  <r>
    <n v="91000126"/>
    <x v="109"/>
    <s v="AM"/>
    <x v="3"/>
    <s v="Lagos-A"/>
    <n v="91200201"/>
    <s v="Ojo Oluwamodupe"/>
    <n v="410000010"/>
    <x v="3"/>
    <n v="103800"/>
    <n v="169"/>
    <s v="Y"/>
    <n v="31"/>
    <n v="32"/>
    <n v="63"/>
    <n v="0.47"/>
    <n v="37800"/>
    <n v="8"/>
    <n v="4"/>
    <n v="4"/>
    <n v="164"/>
  </r>
  <r>
    <n v="91000131"/>
    <x v="110"/>
    <s v="AM"/>
    <x v="3"/>
    <s v="Lagos-E"/>
    <n v="91000115"/>
    <s v="Yusuff Wasiu Ayoade"/>
    <n v="410000010"/>
    <x v="3"/>
    <n v="217000"/>
    <n v="49"/>
    <s v="Y"/>
    <n v="135"/>
    <n v="49"/>
    <n v="184"/>
    <n v="0.61"/>
    <n v="184000"/>
    <n v="21"/>
    <n v="16"/>
    <n v="5"/>
    <n v="15"/>
  </r>
  <r>
    <n v="91000132"/>
    <x v="111"/>
    <s v="AM"/>
    <x v="3"/>
    <s v="Lagos-A"/>
    <n v="91200201"/>
    <s v="Ojo Oluwamodupe"/>
    <n v="410000010"/>
    <x v="3"/>
    <n v="111200"/>
    <n v="158"/>
    <s v="Y"/>
    <n v="41"/>
    <n v="31"/>
    <n v="72"/>
    <n v="0.44"/>
    <n v="43200"/>
    <n v="7"/>
    <n v="3"/>
    <n v="4"/>
    <n v="180"/>
  </r>
  <r>
    <n v="91000134"/>
    <x v="112"/>
    <s v="AM"/>
    <x v="3"/>
    <s v="Lagos-A"/>
    <n v="91200201"/>
    <s v="Ojo Oluwamodupe"/>
    <n v="410000010"/>
    <x v="3"/>
    <n v="77000"/>
    <n v="197"/>
    <s v="N"/>
    <n v="41"/>
    <n v="49"/>
    <n v="90"/>
    <n v="0.39"/>
    <n v="0"/>
    <n v="7"/>
    <n v="2"/>
    <n v="5"/>
    <n v="181"/>
  </r>
  <r>
    <n v="91000137"/>
    <x v="113"/>
    <s v="AM"/>
    <x v="3"/>
    <s v="Lagos-A"/>
    <n v="91200201"/>
    <s v="Ojo Oluwamodupe"/>
    <n v="410000010"/>
    <x v="3"/>
    <n v="138600"/>
    <n v="113"/>
    <s v="Y"/>
    <n v="45"/>
    <n v="41"/>
    <n v="86"/>
    <n v="0.42"/>
    <n v="51600"/>
    <n v="8"/>
    <n v="5"/>
    <n v="3"/>
    <n v="168"/>
  </r>
  <r>
    <n v="910001390"/>
    <x v="114"/>
    <s v="AM"/>
    <x v="3"/>
    <s v="Lagos-1"/>
    <n v="91200201"/>
    <s v="Ojo Oluwamodupe"/>
    <n v="410000010"/>
    <x v="3"/>
    <n v="141600"/>
    <n v="106"/>
    <s v="Y"/>
    <n v="64"/>
    <n v="28"/>
    <n v="92"/>
    <n v="0.59"/>
    <n v="73600"/>
    <n v="13"/>
    <n v="9"/>
    <n v="4"/>
    <n v="65"/>
  </r>
  <r>
    <n v="910001391"/>
    <x v="115"/>
    <s v="AM"/>
    <x v="3"/>
    <s v="Lagos-1"/>
    <n v="91200201"/>
    <s v="Ojo Oluwamodupe"/>
    <n v="410000010"/>
    <x v="3"/>
    <n v="187000"/>
    <n v="67"/>
    <s v="Y"/>
    <n v="33"/>
    <n v="49"/>
    <n v="82"/>
    <n v="0.63"/>
    <n v="82000"/>
    <n v="11"/>
    <n v="4"/>
    <n v="7"/>
    <n v="105"/>
  </r>
  <r>
    <n v="910001392"/>
    <x v="116"/>
    <s v="AM"/>
    <x v="3"/>
    <s v="Lagos-1"/>
    <n v="91200201"/>
    <s v="Ojo Oluwamodupe"/>
    <n v="410000010"/>
    <x v="3"/>
    <n v="131000"/>
    <n v="126"/>
    <s v="Y"/>
    <n v="32"/>
    <n v="58"/>
    <n v="90"/>
    <n v="0.48"/>
    <n v="54000"/>
    <n v="11"/>
    <n v="6"/>
    <n v="5"/>
    <n v="90"/>
  </r>
  <r>
    <n v="910001393"/>
    <x v="117"/>
    <s v="AM"/>
    <x v="3"/>
    <s v="Lagos-1"/>
    <n v="91200201"/>
    <s v="Ojo Oluwamodupe"/>
    <n v="410000010"/>
    <x v="3"/>
    <n v="41400"/>
    <n v="237"/>
    <s v="N"/>
    <n v="20"/>
    <n v="24"/>
    <n v="44"/>
    <n v="0.44"/>
    <n v="26400"/>
    <n v="4"/>
    <n v="3"/>
    <n v="1"/>
    <n v="223"/>
  </r>
  <r>
    <n v="910001394"/>
    <x v="118"/>
    <s v="AM"/>
    <x v="3"/>
    <s v="Lagos-4"/>
    <n v="350003"/>
    <s v="oparasamuelifeanyi"/>
    <n v="410000010"/>
    <x v="3"/>
    <n v="70800"/>
    <n v="205"/>
    <s v="N"/>
    <n v="51"/>
    <n v="8"/>
    <n v="59"/>
    <n v="0.72"/>
    <n v="70800"/>
    <n v="7"/>
    <n v="7"/>
    <n v="0"/>
    <n v="175"/>
  </r>
  <r>
    <n v="910001395"/>
    <x v="119"/>
    <s v="AM"/>
    <x v="3"/>
    <s v="Lagos-5"/>
    <n v="350032"/>
    <s v="Okoi Lucky Sunday"/>
    <n v="410000010"/>
    <x v="3"/>
    <n v="65000"/>
    <n v="213"/>
    <s v="N"/>
    <n v="33"/>
    <n v="22"/>
    <n v="55"/>
    <n v="0.42"/>
    <n v="33000"/>
    <n v="7"/>
    <n v="5"/>
    <n v="2"/>
    <n v="172"/>
  </r>
  <r>
    <n v="910001396"/>
    <x v="120"/>
    <s v="AM"/>
    <x v="3"/>
    <s v="Lagos-2"/>
    <n v="91000115"/>
    <s v="Yusuff Wasiu Ayoade"/>
    <n v="410000010"/>
    <x v="3"/>
    <n v="112000"/>
    <n v="155"/>
    <s v="Y"/>
    <n v="60"/>
    <n v="55"/>
    <n v="115"/>
    <n v="0.55000000000000004"/>
    <n v="92000"/>
    <n v="13"/>
    <n v="11"/>
    <n v="2"/>
    <n v="75"/>
  </r>
  <r>
    <n v="910001397"/>
    <x v="121"/>
    <s v="AM"/>
    <x v="3"/>
    <s v="Lagos-2"/>
    <n v="91000115"/>
    <s v="Yusuff Wasiu Ayoade"/>
    <n v="410000010"/>
    <x v="3"/>
    <n v="182000"/>
    <n v="69"/>
    <s v="Y"/>
    <n v="114"/>
    <n v="36"/>
    <n v="150"/>
    <n v="0.73"/>
    <n v="180000"/>
    <n v="20"/>
    <n v="21"/>
    <n v="0"/>
    <n v="17"/>
  </r>
  <r>
    <n v="910001398"/>
    <x v="122"/>
    <s v="AM"/>
    <x v="3"/>
    <s v="Lagos-2"/>
    <n v="91000115"/>
    <s v="Yusuff Wasiu Ayoade"/>
    <n v="410000010"/>
    <x v="3"/>
    <n v="288400"/>
    <n v="20"/>
    <s v="Y"/>
    <n v="97"/>
    <n v="25"/>
    <n v="122"/>
    <n v="0.86"/>
    <n v="146400"/>
    <n v="18"/>
    <n v="14"/>
    <n v="4"/>
    <n v="21"/>
  </r>
  <r>
    <n v="910001399"/>
    <x v="123"/>
    <s v="AM"/>
    <x v="3"/>
    <s v="Lagos-2"/>
    <n v="91000112"/>
    <s v="Kingsley Ijitola"/>
    <n v="410000010"/>
    <x v="3"/>
    <n v="146000"/>
    <n v="100"/>
    <s v="Y"/>
    <n v="51"/>
    <n v="31"/>
    <n v="82"/>
    <n v="0.63"/>
    <n v="82000"/>
    <n v="9"/>
    <n v="5"/>
    <n v="4"/>
    <n v="151"/>
  </r>
  <r>
    <n v="910001400"/>
    <x v="124"/>
    <s v="AM"/>
    <x v="3"/>
    <s v="Lagos-2"/>
    <n v="91000115"/>
    <s v="Yusuff Wasiu Ayoade"/>
    <n v="410000010"/>
    <x v="3"/>
    <n v="135000"/>
    <n v="120"/>
    <s v="Y"/>
    <n v="70"/>
    <n v="10"/>
    <n v="80"/>
    <n v="0.78"/>
    <n v="96000"/>
    <n v="14"/>
    <n v="13"/>
    <n v="1"/>
    <n v="60"/>
  </r>
  <r>
    <n v="910001401"/>
    <x v="125"/>
    <s v="AM"/>
    <x v="3"/>
    <s v="Lagos-1"/>
    <n v="91200201"/>
    <s v="Ojo Oluwamodupe"/>
    <n v="410000010"/>
    <x v="3"/>
    <n v="159800"/>
    <n v="84"/>
    <s v="Y"/>
    <n v="34"/>
    <n v="54"/>
    <n v="88"/>
    <n v="0.49"/>
    <n v="52800"/>
    <n v="11"/>
    <n v="8"/>
    <n v="3"/>
    <n v="99"/>
  </r>
  <r>
    <n v="910001402"/>
    <x v="126"/>
    <s v="AM"/>
    <x v="3"/>
    <s v="Lagos-1"/>
    <n v="91200201"/>
    <s v="Ojo Oluwamodupe"/>
    <n v="410000010"/>
    <x v="3"/>
    <n v="138000"/>
    <n v="114"/>
    <s v="Y"/>
    <n v="36"/>
    <n v="52"/>
    <n v="88"/>
    <n v="0.68"/>
    <n v="88000"/>
    <n v="13"/>
    <n v="11"/>
    <n v="2"/>
    <n v="78"/>
  </r>
  <r>
    <n v="910001403"/>
    <x v="127"/>
    <s v="AM"/>
    <x v="3"/>
    <s v="Lagos-4"/>
    <n v="350003"/>
    <s v="oparasamuelifeanyi"/>
    <n v="410000010"/>
    <x v="3"/>
    <n v="112000"/>
    <n v="155"/>
    <s v="Y"/>
    <n v="54"/>
    <n v="23"/>
    <n v="77"/>
    <n v="0.62"/>
    <n v="77000"/>
    <n v="9"/>
    <n v="8"/>
    <n v="1"/>
    <n v="147"/>
  </r>
  <r>
    <n v="910001405"/>
    <x v="128"/>
    <s v="AM"/>
    <x v="3"/>
    <s v="Lagos-1"/>
    <n v="91000103"/>
    <s v="wusky rotshak kopnungah"/>
    <n v="410000010"/>
    <x v="3"/>
    <n v="120600"/>
    <n v="141"/>
    <s v="Y"/>
    <n v="56"/>
    <n v="25"/>
    <n v="81"/>
    <n v="0.48"/>
    <n v="48600"/>
    <n v="10"/>
    <n v="8"/>
    <n v="2"/>
    <n v="115"/>
  </r>
  <r>
    <n v="910001406"/>
    <x v="129"/>
    <s v="AM"/>
    <x v="3"/>
    <s v="Lagos-1"/>
    <n v="91000103"/>
    <s v="wusky rotshak kopnungah"/>
    <n v="410000010"/>
    <x v="3"/>
    <n v="133600"/>
    <n v="123"/>
    <s v="Y"/>
    <n v="47"/>
    <n v="30"/>
    <n v="77"/>
    <n v="0.56000000000000005"/>
    <n v="61600"/>
    <n v="11"/>
    <n v="9"/>
    <n v="2"/>
    <n v="92"/>
  </r>
  <r>
    <n v="910001407"/>
    <x v="130"/>
    <s v="AM"/>
    <x v="3"/>
    <s v="Lagos-1"/>
    <n v="91000103"/>
    <s v="wusky rotshak kopnungah"/>
    <n v="410000010"/>
    <x v="3"/>
    <n v="28200"/>
    <n v="250"/>
    <s v="N"/>
    <n v="32"/>
    <n v="15"/>
    <n v="47"/>
    <n v="0.48"/>
    <n v="28200"/>
    <n v="3"/>
    <n v="4"/>
    <n v="0"/>
    <n v="245"/>
  </r>
  <r>
    <n v="910001408"/>
    <x v="131"/>
    <s v="AM"/>
    <x v="3"/>
    <s v="Lagos-2"/>
    <n v="91000112"/>
    <s v="Kingsley Ijitola"/>
    <n v="410000010"/>
    <x v="3"/>
    <n v="66000"/>
    <n v="210"/>
    <s v="N"/>
    <n v="36"/>
    <n v="49"/>
    <n v="85"/>
    <n v="0.45"/>
    <n v="51000"/>
    <n v="8"/>
    <n v="5"/>
    <n v="3"/>
    <n v="163"/>
  </r>
  <r>
    <n v="910001409"/>
    <x v="132"/>
    <s v="AM"/>
    <x v="3"/>
    <s v="Lagos-2"/>
    <n v="91000112"/>
    <s v="Kingsley Ijitola"/>
    <n v="410000010"/>
    <x v="3"/>
    <n v="45000"/>
    <n v="232"/>
    <s v="N"/>
    <n v="23"/>
    <n v="12"/>
    <n v="35"/>
    <n v="0.34"/>
    <n v="0"/>
    <n v="4"/>
    <n v="1"/>
    <n v="3"/>
    <n v="233"/>
  </r>
  <r>
    <n v="910001412"/>
    <x v="133"/>
    <s v="AM"/>
    <x v="3"/>
    <s v="Lagos-6"/>
    <n v="180039"/>
    <s v="Alade Damilola Esther"/>
    <n v="410000010"/>
    <x v="3"/>
    <n v="196400"/>
    <n v="64"/>
    <s v="Y"/>
    <n v="74"/>
    <n v="19"/>
    <n v="93"/>
    <n v="0.57999999999999996"/>
    <n v="74400"/>
    <n v="11"/>
    <n v="3"/>
    <n v="8"/>
    <n v="111"/>
  </r>
  <r>
    <n v="910001413"/>
    <x v="134"/>
    <s v="AM"/>
    <x v="3"/>
    <s v="Lagos-5"/>
    <n v="350013"/>
    <s v="John Famuyiwa"/>
    <n v="410000010"/>
    <x v="3"/>
    <n v="157400"/>
    <n v="89"/>
    <s v="Y"/>
    <n v="75"/>
    <n v="63"/>
    <n v="138"/>
    <n v="0.56999999999999995"/>
    <n v="110400"/>
    <n v="13"/>
    <n v="10"/>
    <n v="3"/>
    <n v="74"/>
  </r>
  <r>
    <n v="910001414"/>
    <x v="135"/>
    <s v="AM"/>
    <x v="3"/>
    <s v="Lagos-6"/>
    <n v="180039"/>
    <s v="Alade Damilola Esther"/>
    <n v="410000010"/>
    <x v="3"/>
    <n v="200000"/>
    <n v="58"/>
    <s v="Y"/>
    <n v="81"/>
    <n v="34"/>
    <n v="115"/>
    <n v="0.54"/>
    <n v="92000"/>
    <n v="11"/>
    <n v="7"/>
    <n v="4"/>
    <n v="108"/>
  </r>
  <r>
    <n v="910001415"/>
    <x v="136"/>
    <s v="AM"/>
    <x v="3"/>
    <s v="Lagos-5"/>
    <n v="350013"/>
    <s v="John Famuyiwa"/>
    <n v="410000010"/>
    <x v="3"/>
    <n v="132000"/>
    <n v="125"/>
    <s v="Y"/>
    <n v="50"/>
    <n v="22"/>
    <n v="72"/>
    <n v="0.6"/>
    <n v="72000"/>
    <n v="8"/>
    <n v="4"/>
    <n v="4"/>
    <n v="159"/>
  </r>
  <r>
    <n v="910001416"/>
    <x v="137"/>
    <s v="AM"/>
    <x v="3"/>
    <s v="Lagos-4"/>
    <n v="91000130"/>
    <s v="Shaji Oloruntobi Olorunleke"/>
    <n v="410000010"/>
    <x v="3"/>
    <n v="92000"/>
    <n v="180"/>
    <s v="N"/>
    <n v="41"/>
    <n v="36"/>
    <n v="77"/>
    <n v="0.37"/>
    <n v="0"/>
    <n v="8"/>
    <n v="2"/>
    <n v="6"/>
    <n v="167"/>
  </r>
  <r>
    <n v="910001417"/>
    <x v="138"/>
    <s v="AM"/>
    <x v="3"/>
    <s v="Lagos-6"/>
    <n v="180039"/>
    <s v="Alade Damilola Esther"/>
    <n v="410000010"/>
    <x v="3"/>
    <n v="32000"/>
    <n v="246"/>
    <s v="N"/>
    <n v="30"/>
    <n v="10"/>
    <n v="40"/>
    <n v="0.56999999999999995"/>
    <n v="32000"/>
    <n v="4"/>
    <n v="4"/>
    <n v="0"/>
    <n v="221"/>
  </r>
  <r>
    <n v="910001418"/>
    <x v="139"/>
    <s v="AM"/>
    <x v="3"/>
    <s v="Lagos-4"/>
    <n v="91000130"/>
    <s v="Shaji Oloruntobi Olorunleke"/>
    <n v="410000010"/>
    <x v="3"/>
    <n v="189000"/>
    <n v="66"/>
    <s v="Y"/>
    <n v="73"/>
    <n v="32"/>
    <n v="105"/>
    <n v="0.56999999999999995"/>
    <n v="84000"/>
    <n v="14"/>
    <n v="7"/>
    <n v="7"/>
    <n v="58"/>
  </r>
  <r>
    <n v="910001419"/>
    <x v="140"/>
    <s v="AM"/>
    <x v="3"/>
    <s v="Lagos-4"/>
    <n v="91000130"/>
    <s v="Shaji Oloruntobi Olorunleke"/>
    <n v="410000010"/>
    <x v="3"/>
    <n v="101400"/>
    <n v="172"/>
    <s v="Y"/>
    <n v="34"/>
    <n v="35"/>
    <n v="69"/>
    <n v="0.42"/>
    <n v="41400"/>
    <n v="5"/>
    <n v="1"/>
    <n v="4"/>
    <n v="210"/>
  </r>
  <r>
    <n v="910004104"/>
    <x v="141"/>
    <s v="AM"/>
    <x v="3"/>
    <s v="Lagos-2"/>
    <n v="91000115"/>
    <s v="Yusuff Wasiu Ayoade"/>
    <n v="410000010"/>
    <x v="3"/>
    <n v="268000"/>
    <n v="29"/>
    <s v="Y"/>
    <n v="132"/>
    <n v="33"/>
    <n v="165"/>
    <n v="0.8"/>
    <n v="198000"/>
    <n v="21"/>
    <n v="19"/>
    <n v="2"/>
    <n v="16"/>
  </r>
  <r>
    <n v="920000122"/>
    <x v="142"/>
    <s v="AM"/>
    <x v="6"/>
    <s v="Bauchi"/>
    <n v="92000118"/>
    <s v="AJAKAYE OLUSOLA EMMANUEL"/>
    <n v="302010269"/>
    <x v="6"/>
    <n v="30000"/>
    <n v="249"/>
    <s v="N"/>
    <n v="21"/>
    <n v="14"/>
    <n v="35"/>
    <n v="0.37"/>
    <n v="0"/>
    <n v="4"/>
    <n v="2"/>
    <n v="2"/>
    <n v="227"/>
  </r>
  <r>
    <n v="920000125"/>
    <x v="143"/>
    <s v="AM"/>
    <x v="6"/>
    <s v="Gombe"/>
    <n v="92000129"/>
    <s v="Ismail Abdullateef"/>
    <n v="302010269"/>
    <x v="6"/>
    <n v="156400"/>
    <n v="90"/>
    <s v="Y"/>
    <n v="35"/>
    <n v="37"/>
    <n v="72"/>
    <n v="0.78"/>
    <n v="86400"/>
    <n v="9"/>
    <n v="7"/>
    <n v="2"/>
    <n v="139"/>
  </r>
  <r>
    <n v="920000127"/>
    <x v="144"/>
    <s v="AM"/>
    <x v="6"/>
    <s v="Gombe"/>
    <n v="92000129"/>
    <s v="Ismail Abdullateef"/>
    <n v="302010269"/>
    <x v="6"/>
    <n v="138000"/>
    <n v="114"/>
    <s v="Y"/>
    <n v="46"/>
    <n v="22"/>
    <n v="68"/>
    <n v="0.64"/>
    <n v="68000"/>
    <n v="8"/>
    <n v="6"/>
    <n v="2"/>
    <n v="155"/>
  </r>
  <r>
    <n v="920000132"/>
    <x v="145"/>
    <s v="AM"/>
    <x v="6"/>
    <s v="Gombe"/>
    <n v="92000129"/>
    <s v="Ismail Abdullateef"/>
    <n v="302010269"/>
    <x v="6"/>
    <n v="140000"/>
    <n v="112"/>
    <s v="Y"/>
    <n v="43"/>
    <n v="27"/>
    <n v="70"/>
    <n v="0.67"/>
    <n v="70000"/>
    <n v="10"/>
    <n v="8"/>
    <n v="2"/>
    <n v="124"/>
  </r>
  <r>
    <n v="920000134"/>
    <x v="146"/>
    <s v="AM"/>
    <x v="6"/>
    <s v="Bauchi"/>
    <n v="92000118"/>
    <s v="AJAKAYE OLUSOLA EMMANUEL"/>
    <n v="302010269"/>
    <x v="6"/>
    <n v="106000"/>
    <n v="164"/>
    <s v="Y"/>
    <n v="21"/>
    <n v="13"/>
    <n v="34"/>
    <n v="0.67"/>
    <n v="34000"/>
    <n v="5"/>
    <n v="3"/>
    <n v="2"/>
    <n v="213"/>
  </r>
  <r>
    <n v="920000137"/>
    <x v="147"/>
    <s v="AM"/>
    <x v="6"/>
    <s v="Bauchi"/>
    <n v="92000118"/>
    <s v="AJAKAYE OLUSOLA EMMANUEL"/>
    <n v="302010269"/>
    <x v="6"/>
    <n v="15800"/>
    <n v="257"/>
    <s v="N"/>
    <n v="10"/>
    <n v="13"/>
    <n v="23"/>
    <n v="0.45"/>
    <n v="13800"/>
    <n v="1"/>
    <n v="2"/>
    <n v="0"/>
    <n v="264"/>
  </r>
  <r>
    <n v="920000139"/>
    <x v="148"/>
    <s v="AM"/>
    <x v="6"/>
    <s v="Bauchi"/>
    <n v="92000118"/>
    <s v="AJAKAYE OLUSOLA EMMANUEL"/>
    <n v="302010269"/>
    <x v="6"/>
    <n v="5000"/>
    <n v="266"/>
    <s v="N"/>
    <n v="5"/>
    <n v="0"/>
    <n v="5"/>
    <n v="0"/>
    <n v="0"/>
    <n v="1"/>
    <n v="0"/>
    <n v="1"/>
    <n v="262"/>
  </r>
  <r>
    <n v="920000163"/>
    <x v="149"/>
    <s v="AM"/>
    <x v="6"/>
    <s v="Taraba"/>
    <n v="92000112"/>
    <s v="RASHIDA SHITTU"/>
    <n v="302010269"/>
    <x v="6"/>
    <n v="45000"/>
    <n v="232"/>
    <s v="N"/>
    <n v="29"/>
    <n v="15"/>
    <n v="44"/>
    <n v="0.38"/>
    <n v="0"/>
    <n v="4"/>
    <n v="1"/>
    <n v="3"/>
    <n v="231"/>
  </r>
  <r>
    <n v="920000165"/>
    <x v="150"/>
    <s v="AM"/>
    <x v="6"/>
    <s v="Taraba"/>
    <n v="92000112"/>
    <s v="RASHIDA SHITTU"/>
    <n v="302010269"/>
    <x v="6"/>
    <n v="124600"/>
    <n v="135"/>
    <s v="Y"/>
    <n v="36"/>
    <n v="26"/>
    <n v="62"/>
    <n v="0.54"/>
    <n v="49600"/>
    <n v="9"/>
    <n v="4"/>
    <n v="5"/>
    <n v="132"/>
  </r>
  <r>
    <n v="920000167"/>
    <x v="151"/>
    <s v="AM"/>
    <x v="6"/>
    <s v="Plateau"/>
    <n v="302020003"/>
    <s v="AYENI ANTHONY OLUSHOLA"/>
    <n v="302010269"/>
    <x v="6"/>
    <n v="33400"/>
    <n v="243"/>
    <s v="N"/>
    <n v="28"/>
    <n v="11"/>
    <n v="39"/>
    <n v="0.48"/>
    <n v="23400"/>
    <n v="2"/>
    <n v="0"/>
    <n v="2"/>
    <n v="252"/>
  </r>
  <r>
    <n v="920000175"/>
    <x v="152"/>
    <s v="AM"/>
    <x v="6"/>
    <s v="Plateau"/>
    <n v="302020003"/>
    <s v="AYENI ANTHONY OLUSHOLA"/>
    <n v="302010269"/>
    <x v="6"/>
    <n v="0"/>
    <n v="274"/>
    <s v="N"/>
    <n v="3"/>
    <n v="0"/>
    <n v="3"/>
    <n v="0"/>
    <n v="0"/>
    <n v="0"/>
    <n v="0"/>
    <n v="0"/>
    <n v="293"/>
  </r>
  <r>
    <n v="920000342"/>
    <x v="153"/>
    <s v="AM"/>
    <x v="4"/>
    <s v="Sokoto"/>
    <n v="920000341"/>
    <s v="Yakub Bashar Abdulazeez"/>
    <n v="410000011"/>
    <x v="4"/>
    <n v="38000"/>
    <n v="240"/>
    <s v="N"/>
    <n v="18"/>
    <n v="22"/>
    <n v="40"/>
    <n v="0.48"/>
    <n v="24000"/>
    <n v="3"/>
    <n v="1"/>
    <n v="2"/>
    <n v="243"/>
  </r>
  <r>
    <n v="92000106"/>
    <x v="154"/>
    <s v="AM"/>
    <x v="4"/>
    <s v="Kano"/>
    <n v="92000107"/>
    <s v="ISMAIL IBRAHIM BADAMASI"/>
    <n v="410000011"/>
    <x v="4"/>
    <n v="24000"/>
    <n v="253"/>
    <s v="N"/>
    <n v="36"/>
    <n v="26"/>
    <n v="62"/>
    <n v="0.39"/>
    <n v="0"/>
    <n v="4"/>
    <n v="0"/>
    <n v="4"/>
    <n v="230"/>
  </r>
  <r>
    <n v="92000110"/>
    <x v="155"/>
    <s v="AM"/>
    <x v="4"/>
    <s v="Kano"/>
    <n v="92000107"/>
    <s v="ISMAIL IBRAHIM BADAMASI"/>
    <n v="410000011"/>
    <x v="4"/>
    <n v="30800"/>
    <n v="248"/>
    <s v="N"/>
    <n v="11"/>
    <n v="17"/>
    <n v="28"/>
    <n v="0.44"/>
    <n v="16800"/>
    <n v="2"/>
    <n v="0"/>
    <n v="2"/>
    <n v="258"/>
  </r>
  <r>
    <n v="92000113"/>
    <x v="156"/>
    <s v="AM"/>
    <x v="6"/>
    <s v="Adamawa"/>
    <n v="302020003"/>
    <s v="AYENI ANTHONY OLUSHOLA"/>
    <n v="302010269"/>
    <x v="6"/>
    <n v="113000"/>
    <n v="152"/>
    <s v="Y"/>
    <n v="51"/>
    <n v="36"/>
    <n v="87"/>
    <n v="0.4"/>
    <n v="0"/>
    <n v="9"/>
    <n v="2"/>
    <n v="7"/>
    <n v="143"/>
  </r>
  <r>
    <n v="92000122"/>
    <x v="157"/>
    <s v="AM"/>
    <x v="6"/>
    <s v="Adamawa"/>
    <n v="302020003"/>
    <s v="AYENI ANTHONY OLUSHOLA"/>
    <n v="302010269"/>
    <x v="6"/>
    <n v="45000"/>
    <n v="232"/>
    <s v="N"/>
    <n v="48"/>
    <n v="36"/>
    <n v="84"/>
    <n v="0.39"/>
    <n v="0"/>
    <n v="6"/>
    <n v="3"/>
    <n v="3"/>
    <n v="191"/>
  </r>
  <r>
    <n v="92000130"/>
    <x v="158"/>
    <s v="AM"/>
    <x v="6"/>
    <s v="Bauchi"/>
    <n v="92000118"/>
    <s v="AJAKAYE OLUSOLA EMMANUEL"/>
    <n v="302010269"/>
    <x v="6"/>
    <n v="112200"/>
    <n v="154"/>
    <s v="Y"/>
    <n v="51"/>
    <n v="36"/>
    <n v="87"/>
    <n v="0.45"/>
    <n v="52200"/>
    <n v="6"/>
    <n v="2"/>
    <n v="4"/>
    <n v="186"/>
  </r>
  <r>
    <n v="920001302"/>
    <x v="159"/>
    <s v="AM"/>
    <x v="6"/>
    <s v="Bauchi"/>
    <n v="92000118"/>
    <s v="AJAKAYE OLUSOLA EMMANUEL"/>
    <n v="302010269"/>
    <x v="6"/>
    <n v="133600"/>
    <n v="123"/>
    <s v="Y"/>
    <n v="31"/>
    <n v="21"/>
    <n v="52"/>
    <n v="0.55000000000000004"/>
    <n v="41600"/>
    <n v="6"/>
    <n v="0"/>
    <n v="6"/>
    <n v="200"/>
  </r>
  <r>
    <n v="92000135"/>
    <x v="160"/>
    <s v="AM"/>
    <x v="1"/>
    <s v="Nassarawa"/>
    <n v="92200201"/>
    <s v="IBRAHIM MOHAMMED"/>
    <n v="300310001"/>
    <x v="1"/>
    <n v="216200"/>
    <n v="51"/>
    <s v="Y"/>
    <n v="80"/>
    <n v="11"/>
    <n v="91"/>
    <n v="0.76"/>
    <n v="109200"/>
    <n v="16"/>
    <n v="13"/>
    <n v="3"/>
    <n v="36"/>
  </r>
  <r>
    <n v="92000156"/>
    <x v="161"/>
    <s v="AM"/>
    <x v="6"/>
    <s v="Borno"/>
    <n v="92000154"/>
    <s v="Nafiu Sani Ibrahim"/>
    <n v="302010269"/>
    <x v="6"/>
    <n v="90400"/>
    <n v="184"/>
    <s v="N"/>
    <n v="24"/>
    <n v="14"/>
    <n v="38"/>
    <n v="0.5"/>
    <n v="30400"/>
    <n v="4"/>
    <n v="0"/>
    <n v="4"/>
    <n v="224"/>
  </r>
  <r>
    <n v="92000160"/>
    <x v="162"/>
    <s v="AM"/>
    <x v="4"/>
    <s v="Kano"/>
    <n v="92000107"/>
    <s v="ISMAIL IBRAHIM BADAMASI"/>
    <n v="410000011"/>
    <x v="4"/>
    <n v="104600"/>
    <n v="166"/>
    <s v="Y"/>
    <n v="29"/>
    <n v="52"/>
    <n v="81"/>
    <n v="0.41"/>
    <n v="48600"/>
    <n v="5"/>
    <n v="3"/>
    <n v="2"/>
    <n v="214"/>
  </r>
  <r>
    <n v="920002060"/>
    <x v="163"/>
    <s v="AM"/>
    <x v="6"/>
    <s v="Borno"/>
    <n v="92000154"/>
    <s v="Nafiu Sani Ibrahim"/>
    <n v="302010269"/>
    <x v="6"/>
    <n v="21800"/>
    <n v="254"/>
    <s v="N"/>
    <n v="21"/>
    <n v="12"/>
    <n v="33"/>
    <n v="0.46"/>
    <n v="19800"/>
    <n v="3"/>
    <n v="4"/>
    <n v="0"/>
    <n v="236"/>
  </r>
  <r>
    <n v="920002061"/>
    <x v="164"/>
    <s v="AM"/>
    <x v="6"/>
    <s v="Borno"/>
    <n v="92000154"/>
    <s v="Nafiu Sani Ibrahim"/>
    <n v="302010269"/>
    <x v="6"/>
    <n v="32600"/>
    <n v="244"/>
    <s v="N"/>
    <n v="17"/>
    <n v="9"/>
    <n v="26"/>
    <n v="0.43"/>
    <n v="15600"/>
    <n v="2"/>
    <n v="1"/>
    <n v="1"/>
    <n v="248"/>
  </r>
  <r>
    <n v="920002062"/>
    <x v="165"/>
    <s v="AM"/>
    <x v="6"/>
    <s v="Borno"/>
    <n v="92000154"/>
    <s v="Nafiu Sani Ibrahim"/>
    <n v="302010269"/>
    <x v="6"/>
    <n v="63800"/>
    <n v="214"/>
    <s v="N"/>
    <n v="17"/>
    <n v="11"/>
    <n v="28"/>
    <n v="0.42"/>
    <n v="16800"/>
    <n v="3"/>
    <n v="0"/>
    <n v="3"/>
    <n v="246"/>
  </r>
  <r>
    <n v="920002063"/>
    <x v="166"/>
    <s v="AM"/>
    <x v="6"/>
    <s v="Borno"/>
    <n v="92000154"/>
    <s v="Nafiu Sani Ibrahim"/>
    <n v="302010269"/>
    <x v="6"/>
    <n v="0"/>
    <n v="274"/>
    <s v="N"/>
    <n v="4"/>
    <n v="8"/>
    <n v="12"/>
    <n v="0.37"/>
    <n v="0"/>
    <n v="1"/>
    <n v="1"/>
    <n v="0"/>
    <n v="269"/>
  </r>
  <r>
    <n v="92200250"/>
    <x v="167"/>
    <s v="AM"/>
    <x v="1"/>
    <s v="Nassarawa"/>
    <n v="92200201"/>
    <s v="IBRAHIM MOHAMMED"/>
    <n v="300310001"/>
    <x v="1"/>
    <n v="115000"/>
    <n v="145"/>
    <s v="Y"/>
    <n v="36"/>
    <n v="19"/>
    <n v="55"/>
    <n v="0.64"/>
    <n v="55000"/>
    <n v="8"/>
    <n v="4"/>
    <n v="4"/>
    <n v="166"/>
  </r>
  <r>
    <n v="92200251"/>
    <x v="168"/>
    <s v="AM"/>
    <x v="1"/>
    <s v="Nassarawa"/>
    <n v="92200201"/>
    <s v="IBRAHIM MOHAMMED"/>
    <n v="300310001"/>
    <x v="1"/>
    <n v="138000"/>
    <n v="114"/>
    <s v="Y"/>
    <n v="40"/>
    <n v="23"/>
    <n v="63"/>
    <n v="0.61"/>
    <n v="63000"/>
    <n v="10"/>
    <n v="5"/>
    <n v="5"/>
    <n v="119"/>
  </r>
  <r>
    <n v="92200252"/>
    <x v="169"/>
    <s v="AM"/>
    <x v="1"/>
    <s v="Nassarawa"/>
    <n v="92200201"/>
    <s v="IBRAHIM MOHAMMED"/>
    <n v="300310001"/>
    <x v="1"/>
    <n v="178000"/>
    <n v="72"/>
    <s v="Y"/>
    <n v="55"/>
    <n v="18"/>
    <n v="73"/>
    <n v="0.63"/>
    <n v="73000"/>
    <n v="11"/>
    <n v="8"/>
    <n v="3"/>
    <n v="93"/>
  </r>
  <r>
    <n v="92200253"/>
    <x v="170"/>
    <s v="AM"/>
    <x v="1"/>
    <s v="Nassarawa"/>
    <n v="92200201"/>
    <s v="IBRAHIM MOHAMMED"/>
    <n v="300310001"/>
    <x v="1"/>
    <n v="140600"/>
    <n v="111"/>
    <s v="Y"/>
    <n v="77"/>
    <n v="5"/>
    <n v="82"/>
    <n v="0.57999999999999996"/>
    <n v="65600"/>
    <n v="13"/>
    <n v="10"/>
    <n v="3"/>
    <n v="68"/>
  </r>
  <r>
    <n v="930000102"/>
    <x v="171"/>
    <s v="AM"/>
    <x v="4"/>
    <s v="Kano"/>
    <n v="92000107"/>
    <s v="ISMAIL IBRAHIM BADAMASI"/>
    <n v="410000011"/>
    <x v="4"/>
    <n v="277000"/>
    <n v="26"/>
    <s v="Y"/>
    <n v="55"/>
    <n v="70"/>
    <n v="125"/>
    <n v="0.46"/>
    <n v="75000"/>
    <n v="11"/>
    <n v="3"/>
    <n v="8"/>
    <n v="102"/>
  </r>
  <r>
    <n v="930000202"/>
    <x v="172"/>
    <s v="AM"/>
    <x v="4"/>
    <s v="Kano"/>
    <n v="92000107"/>
    <s v="ISMAIL IBRAHIM BADAMASI"/>
    <n v="410000011"/>
    <x v="4"/>
    <n v="2000"/>
    <n v="270"/>
    <s v="N"/>
    <n v="37"/>
    <n v="25"/>
    <n v="62"/>
    <n v="0.35"/>
    <n v="0"/>
    <n v="2"/>
    <n v="3"/>
    <n v="0"/>
    <n v="253"/>
  </r>
  <r>
    <n v="93000103"/>
    <x v="173"/>
    <s v="AM"/>
    <x v="1"/>
    <s v="FCT"/>
    <n v="302320002"/>
    <s v="Derek Olanrewaju Alana"/>
    <n v="300310001"/>
    <x v="1"/>
    <n v="602000"/>
    <n v="2"/>
    <s v="Y"/>
    <n v="157"/>
    <n v="48"/>
    <n v="205"/>
    <n v="0.79"/>
    <n v="246000"/>
    <n v="32"/>
    <n v="22"/>
    <n v="10"/>
    <n v="1"/>
  </r>
  <r>
    <n v="93000106"/>
    <x v="174"/>
    <s v="AM"/>
    <x v="0"/>
    <s v="Anambra"/>
    <n v="270030"/>
    <s v="amosudochi"/>
    <n v="400000122"/>
    <x v="0"/>
    <n v="274600"/>
    <n v="28"/>
    <s v="Y"/>
    <n v="119"/>
    <n v="47"/>
    <n v="166"/>
    <n v="0.45"/>
    <n v="99600"/>
    <n v="24"/>
    <n v="19"/>
    <n v="5"/>
    <n v="8"/>
  </r>
  <r>
    <n v="93000107"/>
    <x v="175"/>
    <s v="AM"/>
    <x v="1"/>
    <s v="Kwara"/>
    <n v="93000108"/>
    <s v="MASHOOD ABDULKAREEMM"/>
    <n v="300310001"/>
    <x v="1"/>
    <n v="453000"/>
    <n v="6"/>
    <s v="Y"/>
    <n v="102"/>
    <n v="68"/>
    <n v="170"/>
    <n v="0.71"/>
    <n v="204000"/>
    <n v="26"/>
    <n v="19"/>
    <n v="7"/>
    <n v="6"/>
  </r>
  <r>
    <n v="93000109"/>
    <x v="176"/>
    <s v="AM"/>
    <x v="1"/>
    <s v="Kogi"/>
    <n v="300710002"/>
    <s v="Iortyer bishop joseph"/>
    <n v="300310001"/>
    <x v="1"/>
    <n v="168400"/>
    <n v="78"/>
    <s v="Y"/>
    <n v="59"/>
    <n v="39"/>
    <n v="98"/>
    <n v="0.5"/>
    <n v="78400"/>
    <n v="13"/>
    <n v="7"/>
    <n v="6"/>
    <n v="67"/>
  </r>
  <r>
    <n v="93000113"/>
    <x v="177"/>
    <s v="AM"/>
    <x v="1"/>
    <s v="Kogi"/>
    <n v="300710002"/>
    <s v="Iortyer bishop joseph"/>
    <n v="300310001"/>
    <x v="1"/>
    <n v="179600"/>
    <n v="70"/>
    <s v="Y"/>
    <n v="54"/>
    <n v="37"/>
    <n v="91"/>
    <n v="0.47"/>
    <n v="54600"/>
    <n v="10"/>
    <n v="5"/>
    <n v="5"/>
    <n v="114"/>
  </r>
  <r>
    <n v="93000115"/>
    <x v="178"/>
    <s v="AM"/>
    <x v="1"/>
    <s v="Kogi"/>
    <n v="300710002"/>
    <s v="Iortyer bishop joseph"/>
    <n v="300310001"/>
    <x v="1"/>
    <n v="45000"/>
    <n v="232"/>
    <s v="N"/>
    <n v="37"/>
    <n v="18"/>
    <n v="55"/>
    <n v="0.3"/>
    <n v="0"/>
    <n v="5"/>
    <n v="2"/>
    <n v="3"/>
    <n v="211"/>
  </r>
  <r>
    <n v="93000120"/>
    <x v="179"/>
    <s v="AM"/>
    <x v="4"/>
    <s v="Kaduna"/>
    <n v="290013"/>
    <s v="Oseni Sanusi"/>
    <n v="410000011"/>
    <x v="4"/>
    <n v="2000"/>
    <n v="270"/>
    <s v="N"/>
    <n v="29"/>
    <n v="9"/>
    <n v="38"/>
    <n v="0.33"/>
    <n v="0"/>
    <n v="0"/>
    <n v="1"/>
    <n v="0"/>
    <n v="275"/>
  </r>
  <r>
    <n v="93000126"/>
    <x v="180"/>
    <s v="AM"/>
    <x v="4"/>
    <s v="Kaduna"/>
    <n v="93200205"/>
    <s v="SANI.A HABIBAT"/>
    <n v="410000011"/>
    <x v="4"/>
    <n v="94400"/>
    <n v="177"/>
    <s v="N"/>
    <n v="51"/>
    <n v="67"/>
    <n v="118"/>
    <n v="0.54"/>
    <n v="94400"/>
    <n v="5"/>
    <n v="5"/>
    <n v="0"/>
    <n v="215"/>
  </r>
  <r>
    <n v="93000130"/>
    <x v="181"/>
    <s v="AM"/>
    <x v="4"/>
    <s v="Sokoto"/>
    <n v="920000341"/>
    <s v="Yakub Bashar Abdulazeez"/>
    <n v="410000011"/>
    <x v="4"/>
    <n v="32400"/>
    <n v="245"/>
    <s v="N"/>
    <n v="28"/>
    <n v="26"/>
    <n v="54"/>
    <n v="0.4"/>
    <n v="32400"/>
    <n v="1"/>
    <n v="3"/>
    <n v="0"/>
    <n v="274"/>
  </r>
  <r>
    <n v="93000131"/>
    <x v="182"/>
    <s v="AM"/>
    <x v="1"/>
    <s v="Kwara"/>
    <n v="93000108"/>
    <s v="MASHOOD ABDULKAREEMM"/>
    <n v="300310001"/>
    <x v="1"/>
    <n v="162000"/>
    <n v="82"/>
    <s v="Y"/>
    <n v="64"/>
    <n v="24"/>
    <n v="88"/>
    <n v="0.67"/>
    <n v="88000"/>
    <n v="14"/>
    <n v="12"/>
    <n v="2"/>
    <n v="62"/>
  </r>
  <r>
    <n v="93000132"/>
    <x v="183"/>
    <s v="AM"/>
    <x v="1"/>
    <s v="Kwara"/>
    <n v="93000108"/>
    <s v="MASHOOD ABDULKAREEMM"/>
    <n v="300310001"/>
    <x v="1"/>
    <n v="165800"/>
    <n v="80"/>
    <s v="Y"/>
    <n v="58"/>
    <n v="16"/>
    <n v="74"/>
    <n v="0.78"/>
    <n v="88800"/>
    <n v="13"/>
    <n v="10"/>
    <n v="3"/>
    <n v="63"/>
  </r>
  <r>
    <n v="93000134"/>
    <x v="184"/>
    <s v="AM"/>
    <x v="1"/>
    <s v="FCT"/>
    <n v="302320002"/>
    <s v="Derek Olanrewaju Alana"/>
    <n v="300310001"/>
    <x v="1"/>
    <n v="380800"/>
    <n v="10"/>
    <s v="Y"/>
    <n v="183"/>
    <n v="68"/>
    <n v="251"/>
    <n v="0.51"/>
    <n v="200800"/>
    <n v="23"/>
    <n v="11"/>
    <n v="12"/>
    <n v="11"/>
  </r>
  <r>
    <n v="93000135"/>
    <x v="185"/>
    <s v="AM"/>
    <x v="1"/>
    <s v="FCT"/>
    <n v="302320002"/>
    <s v="Derek Olanrewaju Alana"/>
    <n v="300310001"/>
    <x v="1"/>
    <n v="200000"/>
    <n v="58"/>
    <s v="Y"/>
    <n v="55"/>
    <n v="20"/>
    <n v="75"/>
    <n v="0.55000000000000004"/>
    <n v="60000"/>
    <n v="11"/>
    <n v="7"/>
    <n v="4"/>
    <n v="106"/>
  </r>
  <r>
    <n v="93000136"/>
    <x v="186"/>
    <s v="AM"/>
    <x v="1"/>
    <s v="Niger"/>
    <n v="93000101"/>
    <s v="Daniel Joseph"/>
    <n v="300310001"/>
    <x v="1"/>
    <n v="197000"/>
    <n v="62"/>
    <s v="Y"/>
    <n v="85"/>
    <n v="35"/>
    <n v="120"/>
    <n v="0.68"/>
    <n v="120000"/>
    <n v="11"/>
    <n v="6"/>
    <n v="5"/>
    <n v="104"/>
  </r>
  <r>
    <n v="930001370"/>
    <x v="187"/>
    <s v="AM"/>
    <x v="1"/>
    <s v="FCT"/>
    <n v="93200201"/>
    <s v="Ibekwe Stanley O"/>
    <n v="300310001"/>
    <x v="1"/>
    <n v="74000"/>
    <n v="203"/>
    <s v="N"/>
    <n v="46"/>
    <n v="14"/>
    <n v="60"/>
    <n v="0.72"/>
    <n v="72000"/>
    <n v="8"/>
    <n v="13"/>
    <n v="0"/>
    <n v="157"/>
  </r>
  <r>
    <n v="930001371"/>
    <x v="188"/>
    <s v="AM"/>
    <x v="1"/>
    <s v="FCT"/>
    <n v="302320002"/>
    <s v="Derek Olanrewaju Alana"/>
    <n v="300310001"/>
    <x v="1"/>
    <n v="414000"/>
    <n v="8"/>
    <s v="Y"/>
    <n v="149"/>
    <n v="88"/>
    <n v="237"/>
    <n v="0.66"/>
    <n v="237000"/>
    <n v="24"/>
    <n v="17"/>
    <n v="7"/>
    <n v="10"/>
  </r>
  <r>
    <n v="930001375"/>
    <x v="189"/>
    <s v="AM"/>
    <x v="1"/>
    <s v="Niger"/>
    <n v="93000101"/>
    <s v="Daniel Joseph"/>
    <n v="300310001"/>
    <x v="1"/>
    <n v="183000"/>
    <n v="68"/>
    <s v="Y"/>
    <n v="63"/>
    <n v="27"/>
    <n v="90"/>
    <n v="0.71"/>
    <n v="108000"/>
    <n v="9"/>
    <n v="4"/>
    <n v="5"/>
    <n v="145"/>
  </r>
  <r>
    <n v="930001376"/>
    <x v="190"/>
    <s v="AM"/>
    <x v="1"/>
    <s v="FCT"/>
    <n v="93200201"/>
    <s v="Ibekwe Stanley O"/>
    <n v="300310001"/>
    <x v="1"/>
    <n v="66800"/>
    <n v="209"/>
    <s v="N"/>
    <n v="43"/>
    <n v="20"/>
    <n v="63"/>
    <n v="0.45"/>
    <n v="37800"/>
    <n v="6"/>
    <n v="5"/>
    <n v="1"/>
    <n v="205"/>
  </r>
  <r>
    <n v="930001377"/>
    <x v="191"/>
    <s v="AM"/>
    <x v="1"/>
    <s v="Niger"/>
    <n v="93000101"/>
    <s v="Daniel Joseph"/>
    <n v="300310001"/>
    <x v="1"/>
    <n v="91200"/>
    <n v="182"/>
    <s v="N"/>
    <n v="57"/>
    <n v="17"/>
    <n v="74"/>
    <n v="0.55000000000000004"/>
    <n v="59200"/>
    <n v="8"/>
    <n v="6"/>
    <n v="2"/>
    <n v="153"/>
  </r>
  <r>
    <n v="930001378"/>
    <x v="192"/>
    <s v="AM"/>
    <x v="1"/>
    <s v="FCT"/>
    <n v="302320002"/>
    <s v="Derek Olanrewaju Alana"/>
    <n v="300310001"/>
    <x v="1"/>
    <n v="62000"/>
    <n v="215"/>
    <s v="N"/>
    <n v="26"/>
    <n v="16"/>
    <n v="42"/>
    <n v="0.3"/>
    <n v="0"/>
    <n v="6"/>
    <n v="2"/>
    <n v="4"/>
    <n v="185"/>
  </r>
  <r>
    <n v="930001379"/>
    <x v="193"/>
    <s v="AM"/>
    <x v="1"/>
    <s v="Kogi"/>
    <n v="300710002"/>
    <s v="Iortyer bishop joseph"/>
    <n v="300310001"/>
    <x v="1"/>
    <n v="71600"/>
    <n v="204"/>
    <s v="N"/>
    <n v="22"/>
    <n v="6"/>
    <n v="28"/>
    <n v="0.77"/>
    <n v="33600"/>
    <n v="5"/>
    <n v="3"/>
    <n v="2"/>
    <n v="219"/>
  </r>
  <r>
    <n v="93000150"/>
    <x v="194"/>
    <s v="AM"/>
    <x v="4"/>
    <s v="Kaduna"/>
    <n v="290013"/>
    <s v="Oseni Sanusi"/>
    <n v="410000011"/>
    <x v="4"/>
    <n v="0"/>
    <n v="274"/>
    <s v="N"/>
    <n v="15"/>
    <n v="18"/>
    <n v="33"/>
    <n v="0.39"/>
    <n v="0"/>
    <n v="1"/>
    <n v="2"/>
    <n v="0"/>
    <n v="271"/>
  </r>
  <r>
    <n v="9400000223"/>
    <x v="195"/>
    <s v="AM"/>
    <x v="4"/>
    <s v="Kaduna"/>
    <n v="93200205"/>
    <s v="SANI.A HABIBAT"/>
    <n v="410000011"/>
    <x v="4"/>
    <n v="61600"/>
    <n v="217"/>
    <s v="N"/>
    <n v="34"/>
    <n v="22"/>
    <n v="56"/>
    <n v="0.44"/>
    <n v="33600"/>
    <n v="5"/>
    <n v="1"/>
    <n v="4"/>
    <n v="220"/>
  </r>
  <r>
    <n v="9400000224"/>
    <x v="196"/>
    <s v="AM"/>
    <x v="4"/>
    <s v="Kaduna"/>
    <n v="93200205"/>
    <s v="SANI.A HABIBAT"/>
    <n v="410000011"/>
    <x v="4"/>
    <n v="65600"/>
    <n v="212"/>
    <s v="N"/>
    <n v="21"/>
    <n v="21"/>
    <n v="42"/>
    <n v="0.51"/>
    <n v="33600"/>
    <n v="3"/>
    <n v="1"/>
    <n v="2"/>
    <n v="234"/>
  </r>
  <r>
    <n v="9400000225"/>
    <x v="197"/>
    <s v="AM"/>
    <x v="4"/>
    <s v="Kaduna"/>
    <n v="290013"/>
    <s v="Oseni Sanusi"/>
    <n v="410000011"/>
    <x v="4"/>
    <n v="0"/>
    <n v="274"/>
    <s v="N"/>
    <n v="7"/>
    <n v="12"/>
    <n v="19"/>
    <n v="0.39"/>
    <n v="0"/>
    <n v="1"/>
    <n v="1"/>
    <n v="0"/>
    <n v="265"/>
  </r>
  <r>
    <n v="9400000226"/>
    <x v="198"/>
    <s v="AM"/>
    <x v="4"/>
    <s v="Kaduna"/>
    <n v="290013"/>
    <s v="Oseni Sanusi"/>
    <n v="410000011"/>
    <x v="4"/>
    <n v="39400"/>
    <n v="239"/>
    <s v="N"/>
    <n v="32"/>
    <n v="17"/>
    <n v="49"/>
    <n v="0.46"/>
    <n v="29400"/>
    <n v="3"/>
    <n v="1"/>
    <n v="2"/>
    <n v="238"/>
  </r>
  <r>
    <n v="9400000227"/>
    <x v="199"/>
    <s v="AM"/>
    <x v="4"/>
    <s v="Kaduna"/>
    <n v="93200205"/>
    <s v="SANI.A HABIBAT"/>
    <n v="410000011"/>
    <x v="4"/>
    <n v="11000"/>
    <n v="262"/>
    <s v="N"/>
    <n v="13"/>
    <n v="8"/>
    <n v="21"/>
    <n v="0.26"/>
    <n v="0"/>
    <n v="1"/>
    <n v="0"/>
    <n v="1"/>
    <n v="260"/>
  </r>
  <r>
    <n v="9400000228"/>
    <x v="200"/>
    <s v="AM"/>
    <x v="4"/>
    <s v="Kaduna"/>
    <n v="290013"/>
    <s v="Oseni Sanusi"/>
    <n v="410000011"/>
    <x v="4"/>
    <n v="13800"/>
    <n v="260"/>
    <s v="N"/>
    <n v="13"/>
    <n v="10"/>
    <n v="23"/>
    <n v="0.42"/>
    <n v="13800"/>
    <n v="1"/>
    <n v="1"/>
    <n v="0"/>
    <n v="273"/>
  </r>
  <r>
    <n v="940000204"/>
    <x v="201"/>
    <s v="AM"/>
    <x v="4"/>
    <s v="Kano"/>
    <n v="920001000"/>
    <s v="Abdulkadir Aliyu"/>
    <n v="410000011"/>
    <x v="4"/>
    <n v="56400"/>
    <n v="220"/>
    <s v="N"/>
    <n v="27"/>
    <n v="22"/>
    <n v="49"/>
    <n v="0.49"/>
    <n v="29400"/>
    <n v="4"/>
    <n v="3"/>
    <n v="1"/>
    <n v="222"/>
  </r>
  <r>
    <n v="940000205"/>
    <x v="202"/>
    <s v="AM"/>
    <x v="4"/>
    <s v="Kano"/>
    <n v="920001000"/>
    <s v="Abdulkadir Aliyu"/>
    <n v="410000011"/>
    <x v="4"/>
    <n v="109000"/>
    <n v="161"/>
    <s v="Y"/>
    <n v="20"/>
    <n v="20"/>
    <n v="40"/>
    <n v="0.53"/>
    <n v="32000"/>
    <n v="6"/>
    <n v="3"/>
    <n v="3"/>
    <n v="188"/>
  </r>
  <r>
    <n v="940000209"/>
    <x v="203"/>
    <s v="AM"/>
    <x v="4"/>
    <s v="Kano"/>
    <n v="92000107"/>
    <s v="ISMAIL IBRAHIM BADAMASI"/>
    <n v="410000011"/>
    <x v="4"/>
    <n v="76800"/>
    <n v="198"/>
    <s v="N"/>
    <n v="12"/>
    <n v="41"/>
    <n v="53"/>
    <n v="0.4"/>
    <n v="31800"/>
    <n v="4"/>
    <n v="1"/>
    <n v="3"/>
    <n v="229"/>
  </r>
  <r>
    <n v="940000220"/>
    <x v="204"/>
    <s v="AM"/>
    <x v="4"/>
    <s v="Kano"/>
    <n v="9200010001"/>
    <s v="Azubuike Christopher Chidiebere"/>
    <n v="410000011"/>
    <x v="4"/>
    <n v="7000"/>
    <n v="265"/>
    <s v="N"/>
    <n v="8"/>
    <n v="6"/>
    <n v="14"/>
    <n v="0.39"/>
    <n v="0"/>
    <n v="1"/>
    <n v="0"/>
    <n v="1"/>
    <n v="266"/>
  </r>
  <r>
    <n v="940000221"/>
    <x v="205"/>
    <s v="AM"/>
    <x v="4"/>
    <s v="Kano"/>
    <n v="920001000"/>
    <s v="Abdulkadir Aliyu"/>
    <n v="410000011"/>
    <x v="4"/>
    <n v="134800"/>
    <n v="121"/>
    <s v="Y"/>
    <n v="46"/>
    <n v="10"/>
    <n v="56"/>
    <n v="0.56999999999999995"/>
    <n v="44800"/>
    <n v="7"/>
    <n v="1"/>
    <n v="6"/>
    <n v="183"/>
  </r>
  <r>
    <n v="940000230"/>
    <x v="206"/>
    <s v="AM"/>
    <x v="4"/>
    <s v="Kano"/>
    <n v="92000107"/>
    <s v="ISMAIL IBRAHIM BADAMASI"/>
    <n v="410000011"/>
    <x v="4"/>
    <n v="91200"/>
    <n v="182"/>
    <s v="N"/>
    <n v="16"/>
    <n v="48"/>
    <n v="64"/>
    <n v="0.54"/>
    <n v="51200"/>
    <n v="5"/>
    <n v="3"/>
    <n v="2"/>
    <n v="208"/>
  </r>
  <r>
    <n v="940000231"/>
    <x v="207"/>
    <s v="AM"/>
    <x v="4"/>
    <s v="Kano"/>
    <n v="9200010001"/>
    <s v="Azubuike Christopher Chidiebere"/>
    <n v="410000011"/>
    <x v="4"/>
    <n v="55600"/>
    <n v="221"/>
    <s v="N"/>
    <n v="14"/>
    <n v="28"/>
    <n v="42"/>
    <n v="0.53"/>
    <n v="33600"/>
    <n v="4"/>
    <n v="0"/>
    <n v="4"/>
    <n v="226"/>
  </r>
  <r>
    <n v="940000287"/>
    <x v="208"/>
    <s v="AM"/>
    <x v="4"/>
    <s v="Sokoto"/>
    <n v="920000341"/>
    <s v="Yakub Bashar Abdulazeez"/>
    <n v="410000011"/>
    <x v="4"/>
    <n v="0"/>
    <n v="274"/>
    <s v="N"/>
    <n v="7"/>
    <n v="10"/>
    <n v="17"/>
    <n v="0.39"/>
    <n v="0"/>
    <n v="0"/>
    <n v="2"/>
    <n v="0"/>
    <n v="276"/>
  </r>
  <r>
    <n v="940000288"/>
    <x v="209"/>
    <s v="AM"/>
    <x v="4"/>
    <s v="Sokoto"/>
    <n v="920000341"/>
    <s v="Yakub Bashar Abdulazeez"/>
    <n v="410000011"/>
    <x v="4"/>
    <n v="48000"/>
    <n v="228"/>
    <s v="N"/>
    <n v="35"/>
    <n v="20"/>
    <n v="55"/>
    <n v="0.49"/>
    <n v="33000"/>
    <n v="3"/>
    <n v="2"/>
    <n v="1"/>
    <n v="239"/>
  </r>
  <r>
    <n v="940000302"/>
    <x v="210"/>
    <s v="AM"/>
    <x v="4"/>
    <s v="Sokoto"/>
    <n v="920000341"/>
    <s v="Yakub Bashar Abdulazeez"/>
    <n v="410000011"/>
    <x v="4"/>
    <n v="21000"/>
    <n v="255"/>
    <s v="N"/>
    <n v="6"/>
    <n v="11"/>
    <n v="17"/>
    <n v="0.6"/>
    <n v="17000"/>
    <n v="1"/>
    <n v="1"/>
    <n v="0"/>
    <n v="272"/>
  </r>
  <r>
    <n v="9500001210"/>
    <x v="211"/>
    <s v="AM"/>
    <x v="0"/>
    <s v="Enugu"/>
    <n v="300120004"/>
    <s v="Ogoke Clinton"/>
    <n v="400000122"/>
    <x v="0"/>
    <n v="151600"/>
    <n v="96"/>
    <s v="Y"/>
    <n v="63"/>
    <n v="5"/>
    <n v="68"/>
    <n v="0.79"/>
    <n v="81600"/>
    <n v="12"/>
    <n v="10"/>
    <n v="2"/>
    <n v="83"/>
  </r>
  <r>
    <n v="9500001211"/>
    <x v="212"/>
    <s v="AM"/>
    <x v="0"/>
    <s v="Enugu"/>
    <n v="95000116"/>
    <s v="Onyema Chioma"/>
    <n v="400000122"/>
    <x v="0"/>
    <n v="143600"/>
    <n v="102"/>
    <s v="Y"/>
    <n v="88"/>
    <n v="30"/>
    <n v="118"/>
    <n v="0.73"/>
    <n v="141600"/>
    <n v="15"/>
    <n v="19"/>
    <n v="0"/>
    <n v="41"/>
  </r>
  <r>
    <n v="950000127"/>
    <x v="213"/>
    <s v="AM"/>
    <x v="0"/>
    <s v="Enugu"/>
    <n v="95000116"/>
    <s v="Onyema Chioma"/>
    <n v="400000122"/>
    <x v="0"/>
    <n v="329000"/>
    <n v="16"/>
    <s v="Y"/>
    <n v="92"/>
    <n v="21"/>
    <n v="113"/>
    <n v="0.65"/>
    <n v="113000"/>
    <n v="19"/>
    <n v="13"/>
    <n v="6"/>
    <n v="20"/>
  </r>
  <r>
    <n v="950000131"/>
    <x v="214"/>
    <s v="AM"/>
    <x v="0"/>
    <s v="Cross River"/>
    <n v="953009090"/>
    <s v="Ejike Favour Ngozika"/>
    <n v="400000122"/>
    <x v="0"/>
    <n v="215000"/>
    <n v="53"/>
    <s v="Y"/>
    <n v="60"/>
    <n v="30"/>
    <n v="90"/>
    <n v="0.71"/>
    <n v="108000"/>
    <n v="13"/>
    <n v="10"/>
    <n v="3"/>
    <n v="80"/>
  </r>
  <r>
    <n v="950000135"/>
    <x v="215"/>
    <s v="AM"/>
    <x v="0"/>
    <s v="Anambra"/>
    <n v="150012"/>
    <s v="Igboko Ogechi Nkemakolam"/>
    <n v="400000122"/>
    <x v="0"/>
    <n v="74800"/>
    <n v="201"/>
    <s v="N"/>
    <n v="34"/>
    <n v="59"/>
    <n v="93"/>
    <n v="0.44"/>
    <n v="55800"/>
    <n v="6"/>
    <n v="5"/>
    <n v="1"/>
    <n v="199"/>
  </r>
  <r>
    <n v="950000136"/>
    <x v="216"/>
    <s v="AM"/>
    <x v="0"/>
    <s v="Anambra"/>
    <n v="270030"/>
    <s v="amosudochi"/>
    <n v="400000122"/>
    <x v="0"/>
    <n v="164400"/>
    <n v="81"/>
    <s v="Y"/>
    <n v="40"/>
    <n v="49"/>
    <n v="89"/>
    <n v="0.44"/>
    <n v="53400"/>
    <n v="11"/>
    <n v="8"/>
    <n v="3"/>
    <n v="113"/>
  </r>
  <r>
    <n v="950000137"/>
    <x v="217"/>
    <s v="AM"/>
    <x v="0"/>
    <s v="Anambra"/>
    <n v="270030"/>
    <s v="amosudochi"/>
    <n v="400000122"/>
    <x v="0"/>
    <n v="0"/>
    <n v="274"/>
    <s v="N"/>
    <n v="0"/>
    <n v="0"/>
    <n v="0"/>
    <n v="0"/>
    <n v="0"/>
    <n v="0"/>
    <n v="0"/>
    <n v="0"/>
    <n v="307"/>
  </r>
  <r>
    <n v="950000142"/>
    <x v="218"/>
    <s v="AM"/>
    <x v="0"/>
    <s v="Abia"/>
    <n v="270027"/>
    <s v="chimakingsley"/>
    <n v="400000122"/>
    <x v="0"/>
    <n v="207400"/>
    <n v="56"/>
    <s v="Y"/>
    <n v="87"/>
    <n v="41"/>
    <n v="128"/>
    <n v="0.5"/>
    <n v="102400"/>
    <n v="14"/>
    <n v="11"/>
    <n v="3"/>
    <n v="51"/>
  </r>
  <r>
    <n v="950000143"/>
    <x v="219"/>
    <s v="AM"/>
    <x v="0"/>
    <s v="Abia"/>
    <n v="270027"/>
    <s v="chimakingsley"/>
    <n v="400000122"/>
    <x v="0"/>
    <n v="290000"/>
    <n v="19"/>
    <s v="Y"/>
    <n v="87"/>
    <n v="28"/>
    <n v="115"/>
    <n v="0.68"/>
    <n v="115000"/>
    <n v="16"/>
    <n v="11"/>
    <n v="5"/>
    <n v="37"/>
  </r>
  <r>
    <n v="950000153"/>
    <x v="220"/>
    <s v="AM"/>
    <x v="5"/>
    <s v="Ondo"/>
    <n v="230019"/>
    <s v="ogbeidefrancis"/>
    <n v="300910002"/>
    <x v="5"/>
    <n v="0"/>
    <n v="274"/>
    <s v="N"/>
    <n v="0"/>
    <n v="0"/>
    <n v="0"/>
    <n v="0"/>
    <n v="0"/>
    <n v="0"/>
    <n v="0"/>
    <n v="0"/>
    <n v="295"/>
  </r>
  <r>
    <n v="950000155"/>
    <x v="221"/>
    <s v="AM"/>
    <x v="0"/>
    <s v="Anambra"/>
    <n v="210032"/>
    <s v="odohuzoma"/>
    <n v="400000122"/>
    <x v="0"/>
    <n v="103400"/>
    <n v="170"/>
    <s v="Y"/>
    <n v="74"/>
    <n v="95"/>
    <n v="169"/>
    <n v="0.46"/>
    <n v="101400"/>
    <n v="13"/>
    <n v="13"/>
    <n v="0"/>
    <n v="81"/>
  </r>
  <r>
    <n v="950000156"/>
    <x v="222"/>
    <s v="AM"/>
    <x v="0"/>
    <s v="Anambra"/>
    <n v="270030"/>
    <s v="amosudochi"/>
    <n v="400000122"/>
    <x v="0"/>
    <n v="160800"/>
    <n v="83"/>
    <s v="Y"/>
    <n v="49"/>
    <n v="44"/>
    <n v="93"/>
    <n v="0.45"/>
    <n v="55800"/>
    <n v="11"/>
    <n v="8"/>
    <n v="3"/>
    <n v="101"/>
  </r>
  <r>
    <n v="950000157"/>
    <x v="223"/>
    <s v="AM"/>
    <x v="0"/>
    <s v="Anambra"/>
    <n v="270030"/>
    <s v="amosudochi"/>
    <n v="400000122"/>
    <x v="0"/>
    <n v="339200"/>
    <n v="13"/>
    <s v="Y"/>
    <n v="101"/>
    <n v="56"/>
    <n v="157"/>
    <n v="0.41"/>
    <n v="94200"/>
    <n v="15"/>
    <n v="8"/>
    <n v="7"/>
    <n v="39"/>
  </r>
  <r>
    <n v="950000158"/>
    <x v="224"/>
    <s v="AM"/>
    <x v="0"/>
    <s v="Anambra"/>
    <n v="950000140"/>
    <s v="Ndukwe prince agu"/>
    <n v="400000122"/>
    <x v="0"/>
    <n v="156000"/>
    <n v="91"/>
    <s v="Y"/>
    <n v="84"/>
    <n v="21"/>
    <n v="105"/>
    <n v="0.74"/>
    <n v="126000"/>
    <n v="14"/>
    <n v="12"/>
    <n v="2"/>
    <n v="49"/>
  </r>
  <r>
    <n v="950000159"/>
    <x v="225"/>
    <s v="AM"/>
    <x v="0"/>
    <s v="Abia"/>
    <n v="110001"/>
    <s v="Michael Ogechukwu Akwarandu"/>
    <n v="400000122"/>
    <x v="0"/>
    <n v="123200"/>
    <n v="138"/>
    <s v="Y"/>
    <n v="56"/>
    <n v="18"/>
    <n v="74"/>
    <n v="0.59"/>
    <n v="59200"/>
    <n v="9"/>
    <n v="5"/>
    <n v="4"/>
    <n v="138"/>
  </r>
  <r>
    <n v="950000160"/>
    <x v="226"/>
    <s v="AM"/>
    <x v="0"/>
    <s v="Anambra"/>
    <n v="950000140"/>
    <s v="Ndukwe prince agu"/>
    <n v="400000122"/>
    <x v="0"/>
    <n v="259000"/>
    <n v="31"/>
    <s v="Y"/>
    <n v="105"/>
    <n v="50"/>
    <n v="155"/>
    <n v="0.56000000000000005"/>
    <n v="124000"/>
    <n v="15"/>
    <n v="6"/>
    <n v="9"/>
    <n v="43"/>
  </r>
  <r>
    <n v="950000162"/>
    <x v="227"/>
    <s v="AM"/>
    <x v="0"/>
    <s v="Anambra"/>
    <n v="150012"/>
    <s v="Igboko Ogechi Nkemakolam"/>
    <n v="400000122"/>
    <x v="0"/>
    <n v="137400"/>
    <n v="117"/>
    <s v="Y"/>
    <n v="62"/>
    <n v="47"/>
    <n v="109"/>
    <n v="0.41"/>
    <n v="65400"/>
    <n v="12"/>
    <n v="10"/>
    <n v="2"/>
    <n v="84"/>
  </r>
  <r>
    <n v="950000163"/>
    <x v="228"/>
    <s v="AM"/>
    <x v="0"/>
    <s v="Anambra"/>
    <n v="150012"/>
    <s v="Igboko Ogechi Nkemakolam"/>
    <n v="400000122"/>
    <x v="0"/>
    <n v="105000"/>
    <n v="165"/>
    <s v="Y"/>
    <n v="66"/>
    <n v="44"/>
    <n v="110"/>
    <n v="0.37"/>
    <n v="0"/>
    <n v="12"/>
    <n v="9"/>
    <n v="3"/>
    <n v="85"/>
  </r>
  <r>
    <n v="950000165"/>
    <x v="229"/>
    <s v="AM"/>
    <x v="0"/>
    <s v="Abia"/>
    <n v="110001"/>
    <s v="Michael Ogechukwu Akwarandu"/>
    <n v="400000122"/>
    <x v="0"/>
    <n v="140800"/>
    <n v="110"/>
    <s v="Y"/>
    <n v="75"/>
    <n v="26"/>
    <n v="101"/>
    <n v="0.54"/>
    <n v="80800"/>
    <n v="10"/>
    <n v="6"/>
    <n v="4"/>
    <n v="126"/>
  </r>
  <r>
    <n v="950000167"/>
    <x v="230"/>
    <s v="AM"/>
    <x v="0"/>
    <s v="Anambra"/>
    <n v="950000140"/>
    <s v="Ndukwe prince agu"/>
    <n v="400000122"/>
    <x v="0"/>
    <n v="0"/>
    <n v="274"/>
    <s v="N"/>
    <n v="0"/>
    <n v="0"/>
    <n v="0"/>
    <n v="0"/>
    <n v="0"/>
    <n v="0"/>
    <n v="0"/>
    <n v="0"/>
    <n v="282"/>
  </r>
  <r>
    <n v="950000169"/>
    <x v="231"/>
    <s v="AM"/>
    <x v="0"/>
    <s v="Anambra"/>
    <n v="950000140"/>
    <s v="Ndukwe prince agu"/>
    <n v="400000122"/>
    <x v="0"/>
    <n v="0"/>
    <n v="274"/>
    <s v="N"/>
    <n v="0"/>
    <n v="0"/>
    <n v="0"/>
    <n v="0"/>
    <n v="0"/>
    <n v="0"/>
    <n v="0"/>
    <n v="0"/>
    <n v="290"/>
  </r>
  <r>
    <n v="950000170"/>
    <x v="232"/>
    <s v="AM"/>
    <x v="0"/>
    <s v="Anambra"/>
    <n v="210032"/>
    <s v="odohuzoma"/>
    <n v="400000122"/>
    <x v="0"/>
    <n v="0"/>
    <n v="274"/>
    <s v="N"/>
    <n v="0"/>
    <n v="0"/>
    <n v="0"/>
    <n v="0"/>
    <n v="0"/>
    <n v="0"/>
    <n v="0"/>
    <n v="0"/>
    <n v="305"/>
  </r>
  <r>
    <n v="950000171"/>
    <x v="233"/>
    <s v="AM"/>
    <x v="0"/>
    <s v="Anambra"/>
    <n v="210032"/>
    <s v="odohuzoma"/>
    <n v="400000122"/>
    <x v="0"/>
    <n v="0"/>
    <n v="274"/>
    <s v="N"/>
    <n v="0"/>
    <n v="0"/>
    <n v="0"/>
    <n v="0"/>
    <n v="0"/>
    <n v="0"/>
    <n v="0"/>
    <n v="0"/>
    <n v="291"/>
  </r>
  <r>
    <n v="950000172"/>
    <x v="234"/>
    <s v="AM"/>
    <x v="0"/>
    <s v="Anambra"/>
    <n v="210032"/>
    <s v="odohuzoma"/>
    <n v="400000122"/>
    <x v="0"/>
    <n v="0"/>
    <n v="274"/>
    <s v="N"/>
    <n v="0"/>
    <n v="0"/>
    <n v="0"/>
    <n v="0"/>
    <n v="0"/>
    <n v="0"/>
    <n v="0"/>
    <n v="0"/>
    <n v="277"/>
  </r>
  <r>
    <n v="950000173"/>
    <x v="235"/>
    <s v="AM"/>
    <x v="0"/>
    <s v="Anambra"/>
    <n v="210032"/>
    <s v="odohuzoma"/>
    <n v="400000122"/>
    <x v="0"/>
    <n v="0"/>
    <n v="274"/>
    <s v="N"/>
    <n v="0"/>
    <n v="0"/>
    <n v="0"/>
    <n v="0"/>
    <n v="0"/>
    <n v="0"/>
    <n v="0"/>
    <n v="0"/>
    <n v="298"/>
  </r>
  <r>
    <n v="950000174"/>
    <x v="236"/>
    <s v="AM"/>
    <x v="0"/>
    <s v="Anambra"/>
    <n v="150012"/>
    <s v="Igboko Ogechi Nkemakolam"/>
    <n v="400000122"/>
    <x v="0"/>
    <n v="0"/>
    <n v="274"/>
    <s v="N"/>
    <n v="0"/>
    <n v="0"/>
    <n v="0"/>
    <n v="0"/>
    <n v="0"/>
    <n v="0"/>
    <n v="0"/>
    <n v="0"/>
    <n v="283"/>
  </r>
  <r>
    <n v="950000175"/>
    <x v="237"/>
    <s v="AM"/>
    <x v="0"/>
    <s v="Anambra"/>
    <n v="150012"/>
    <s v="Igboko Ogechi Nkemakolam"/>
    <n v="400000122"/>
    <x v="0"/>
    <n v="0"/>
    <n v="274"/>
    <s v="N"/>
    <n v="0"/>
    <n v="0"/>
    <n v="0"/>
    <n v="0"/>
    <n v="0"/>
    <n v="0"/>
    <n v="0"/>
    <n v="0"/>
    <n v="303"/>
  </r>
  <r>
    <n v="950000176"/>
    <x v="238"/>
    <s v="AM"/>
    <x v="0"/>
    <s v="Anambra"/>
    <n v="150012"/>
    <s v="Igboko Ogechi Nkemakolam"/>
    <n v="400000122"/>
    <x v="0"/>
    <n v="0"/>
    <n v="274"/>
    <s v="N"/>
    <n v="0"/>
    <n v="0"/>
    <n v="0"/>
    <n v="0"/>
    <n v="0"/>
    <n v="0"/>
    <n v="0"/>
    <n v="0"/>
    <n v="280"/>
  </r>
  <r>
    <n v="950000177"/>
    <x v="239"/>
    <s v="AM"/>
    <x v="0"/>
    <s v="Anambra"/>
    <n v="270030"/>
    <s v="amosudochi"/>
    <n v="400000122"/>
    <x v="0"/>
    <n v="0"/>
    <n v="274"/>
    <s v="N"/>
    <n v="0"/>
    <n v="0"/>
    <n v="0"/>
    <n v="0"/>
    <n v="0"/>
    <n v="0"/>
    <n v="0"/>
    <n v="0"/>
    <n v="299"/>
  </r>
  <r>
    <n v="950000178"/>
    <x v="240"/>
    <s v="AM"/>
    <x v="0"/>
    <s v="Anambra"/>
    <n v="270030"/>
    <s v="amosudochi"/>
    <n v="400000122"/>
    <x v="0"/>
    <n v="0"/>
    <n v="274"/>
    <s v="N"/>
    <n v="0"/>
    <n v="0"/>
    <n v="0"/>
    <n v="0"/>
    <n v="0"/>
    <n v="0"/>
    <n v="0"/>
    <n v="0"/>
    <n v="285"/>
  </r>
  <r>
    <n v="950000179"/>
    <x v="241"/>
    <s v="AM"/>
    <x v="0"/>
    <s v="Anambra"/>
    <n v="270030"/>
    <s v="amosudochi"/>
    <n v="400000122"/>
    <x v="0"/>
    <n v="0"/>
    <n v="274"/>
    <s v="N"/>
    <n v="0"/>
    <n v="0"/>
    <n v="0"/>
    <n v="0"/>
    <n v="0"/>
    <n v="0"/>
    <n v="0"/>
    <n v="0"/>
    <n v="287"/>
  </r>
  <r>
    <n v="950000180"/>
    <x v="242"/>
    <s v="AM"/>
    <x v="0"/>
    <s v="Anambra"/>
    <n v="270030"/>
    <s v="amosudochi"/>
    <n v="400000122"/>
    <x v="0"/>
    <n v="33800"/>
    <n v="242"/>
    <s v="N"/>
    <n v="31"/>
    <n v="22"/>
    <n v="53"/>
    <n v="0.42"/>
    <n v="31800"/>
    <n v="2"/>
    <n v="4"/>
    <n v="0"/>
    <n v="257"/>
  </r>
  <r>
    <n v="950000181"/>
    <x v="243"/>
    <s v="AM"/>
    <x v="0"/>
    <s v="Anambra"/>
    <n v="210032"/>
    <s v="odohuzoma"/>
    <n v="400000122"/>
    <x v="0"/>
    <n v="50200"/>
    <n v="226"/>
    <s v="N"/>
    <n v="21"/>
    <n v="46"/>
    <n v="67"/>
    <n v="0.4"/>
    <n v="40200"/>
    <n v="4"/>
    <n v="2"/>
    <n v="2"/>
    <n v="225"/>
  </r>
  <r>
    <n v="950000200"/>
    <x v="244"/>
    <s v="AM"/>
    <x v="0"/>
    <s v="Abia"/>
    <n v="110001"/>
    <s v="Michael Ogechukwu Akwarandu"/>
    <n v="400000122"/>
    <x v="0"/>
    <n v="0"/>
    <n v="274"/>
    <s v="N"/>
    <n v="0"/>
    <n v="0"/>
    <n v="0"/>
    <n v="0"/>
    <n v="0"/>
    <n v="0"/>
    <n v="0"/>
    <n v="0"/>
    <n v="288"/>
  </r>
  <r>
    <n v="950000201"/>
    <x v="245"/>
    <s v="AM"/>
    <x v="0"/>
    <s v="Abia"/>
    <n v="110001"/>
    <s v="Michael Ogechukwu Akwarandu"/>
    <n v="400000122"/>
    <x v="0"/>
    <n v="0"/>
    <n v="274"/>
    <s v="N"/>
    <n v="0"/>
    <n v="0"/>
    <n v="0"/>
    <n v="0"/>
    <n v="0"/>
    <n v="0"/>
    <n v="0"/>
    <n v="0"/>
    <n v="297"/>
  </r>
  <r>
    <n v="950000221"/>
    <x v="246"/>
    <s v="AM"/>
    <x v="4"/>
    <s v="Kano"/>
    <n v="9200010001"/>
    <s v="Azubuike Christopher Chidiebere"/>
    <n v="410000011"/>
    <x v="4"/>
    <n v="0"/>
    <n v="274"/>
    <s v="N"/>
    <n v="0"/>
    <n v="0"/>
    <n v="0"/>
    <n v="0"/>
    <n v="0"/>
    <n v="0"/>
    <n v="0"/>
    <n v="0"/>
    <n v="302"/>
  </r>
  <r>
    <n v="95000112"/>
    <x v="247"/>
    <s v="AM"/>
    <x v="0"/>
    <s v="Ebonyi"/>
    <n v="300120004"/>
    <s v="Ogoke Clinton"/>
    <n v="400000122"/>
    <x v="0"/>
    <n v="142000"/>
    <n v="105"/>
    <s v="Y"/>
    <n v="57"/>
    <n v="23"/>
    <n v="80"/>
    <n v="0.5"/>
    <n v="64000"/>
    <n v="11"/>
    <n v="9"/>
    <n v="2"/>
    <n v="98"/>
  </r>
  <r>
    <n v="95000117"/>
    <x v="248"/>
    <s v="AM"/>
    <x v="0"/>
    <s v="Ebonyi"/>
    <n v="300120004"/>
    <s v="Ogoke Clinton"/>
    <n v="400000122"/>
    <x v="0"/>
    <n v="83200"/>
    <n v="190"/>
    <s v="N"/>
    <n v="82"/>
    <n v="50"/>
    <n v="132"/>
    <n v="0.48"/>
    <n v="79200"/>
    <n v="10"/>
    <n v="17"/>
    <n v="0"/>
    <n v="118"/>
  </r>
  <r>
    <n v="95000120"/>
    <x v="249"/>
    <s v="AM"/>
    <x v="2"/>
    <s v="Delta"/>
    <n v="210023"/>
    <s v="davidsonaken"/>
    <n v="210001"/>
    <x v="2"/>
    <n v="109800"/>
    <n v="159"/>
    <s v="Y"/>
    <n v="28"/>
    <n v="26"/>
    <n v="54"/>
    <n v="0.8"/>
    <n v="64800"/>
    <n v="8"/>
    <n v="5"/>
    <n v="3"/>
    <n v="160"/>
  </r>
  <r>
    <n v="950001210"/>
    <x v="250"/>
    <s v="AM"/>
    <x v="0"/>
    <s v="Enugu"/>
    <n v="95000116"/>
    <s v="Onyema Chioma"/>
    <n v="400000122"/>
    <x v="0"/>
    <n v="0"/>
    <n v="274"/>
    <s v="N"/>
    <n v="1"/>
    <n v="0"/>
    <n v="1"/>
    <n v="0"/>
    <n v="0"/>
    <n v="0"/>
    <n v="0"/>
    <n v="0"/>
    <n v="281"/>
  </r>
  <r>
    <n v="950001211"/>
    <x v="251"/>
    <s v="AM"/>
    <x v="0"/>
    <s v="Enugu"/>
    <n v="300120004"/>
    <s v="Ogoke Clinton"/>
    <n v="400000122"/>
    <x v="0"/>
    <n v="0"/>
    <n v="274"/>
    <s v="N"/>
    <n v="0"/>
    <n v="0"/>
    <n v="0"/>
    <n v="0"/>
    <n v="0"/>
    <n v="0"/>
    <n v="0"/>
    <n v="0"/>
    <n v="304"/>
  </r>
  <r>
    <n v="95000129"/>
    <x v="252"/>
    <s v="AM"/>
    <x v="2"/>
    <s v="Akwa Ibom"/>
    <n v="95000130"/>
    <s v="Nsikan Enobong Edoho"/>
    <n v="210001"/>
    <x v="2"/>
    <n v="173000"/>
    <n v="77"/>
    <s v="Y"/>
    <n v="57"/>
    <n v="44"/>
    <n v="101"/>
    <n v="0.65"/>
    <n v="101000"/>
    <n v="11"/>
    <n v="9"/>
    <n v="2"/>
    <n v="103"/>
  </r>
  <r>
    <n v="950001310"/>
    <x v="253"/>
    <s v="AM"/>
    <x v="2"/>
    <s v="Akwa Ibom"/>
    <n v="95200205"/>
    <s v="Idaraobong Utip"/>
    <n v="210001"/>
    <x v="2"/>
    <n v="0"/>
    <n v="274"/>
    <s v="N"/>
    <n v="0"/>
    <n v="0"/>
    <n v="0"/>
    <n v="0"/>
    <n v="0"/>
    <n v="0"/>
    <n v="0"/>
    <n v="0"/>
    <n v="284"/>
  </r>
  <r>
    <n v="950001311"/>
    <x v="254"/>
    <s v="AM"/>
    <x v="2"/>
    <s v="Akwa Ibom"/>
    <n v="95000130"/>
    <s v="Nsikan Enobong Edoho"/>
    <n v="210001"/>
    <x v="2"/>
    <n v="0"/>
    <n v="274"/>
    <s v="N"/>
    <n v="0"/>
    <n v="0"/>
    <n v="0"/>
    <n v="0"/>
    <n v="0"/>
    <n v="0"/>
    <n v="0"/>
    <n v="0"/>
    <n v="292"/>
  </r>
  <r>
    <n v="95000135"/>
    <x v="255"/>
    <s v="AM"/>
    <x v="2"/>
    <s v="Akwa Ibom"/>
    <n v="95200205"/>
    <s v="Idaraobong Utip"/>
    <n v="210001"/>
    <x v="2"/>
    <n v="83000"/>
    <n v="191"/>
    <s v="N"/>
    <n v="46"/>
    <n v="37"/>
    <n v="83"/>
    <n v="0.63"/>
    <n v="83000"/>
    <n v="10"/>
    <n v="13"/>
    <n v="0"/>
    <n v="128"/>
  </r>
  <r>
    <n v="950001370"/>
    <x v="256"/>
    <s v="AM"/>
    <x v="2"/>
    <s v="Akwa Ibom"/>
    <n v="95000130"/>
    <s v="Nsikan Enobong Edoho"/>
    <n v="210001"/>
    <x v="2"/>
    <n v="143000"/>
    <n v="104"/>
    <s v="Y"/>
    <n v="46"/>
    <n v="27"/>
    <n v="73"/>
    <n v="0.63"/>
    <n v="73000"/>
    <n v="10"/>
    <n v="8"/>
    <n v="2"/>
    <n v="129"/>
  </r>
  <r>
    <n v="950001390"/>
    <x v="257"/>
    <s v="AM"/>
    <x v="2"/>
    <s v="Akwa Ibom"/>
    <n v="95200205"/>
    <s v="Idaraobong Utip"/>
    <n v="210001"/>
    <x v="2"/>
    <n v="51000"/>
    <n v="223"/>
    <s v="N"/>
    <n v="35"/>
    <n v="16"/>
    <n v="51"/>
    <n v="0.69"/>
    <n v="51000"/>
    <n v="7"/>
    <n v="11"/>
    <n v="0"/>
    <n v="173"/>
  </r>
  <r>
    <n v="95000150"/>
    <x v="258"/>
    <s v="AM"/>
    <x v="2"/>
    <s v="Delta"/>
    <n v="210023"/>
    <s v="davidsonaken"/>
    <n v="210001"/>
    <x v="2"/>
    <n v="125000"/>
    <n v="133"/>
    <s v="Y"/>
    <n v="47"/>
    <n v="22"/>
    <n v="69"/>
    <n v="0.63"/>
    <n v="69000"/>
    <n v="8"/>
    <n v="6"/>
    <n v="2"/>
    <n v="162"/>
  </r>
  <r>
    <n v="95000206"/>
    <x v="259"/>
    <s v="AM"/>
    <x v="0"/>
    <s v="Abia"/>
    <n v="270027"/>
    <s v="chimakingsley"/>
    <n v="400000122"/>
    <x v="0"/>
    <n v="145400"/>
    <n v="101"/>
    <s v="Y"/>
    <n v="51"/>
    <n v="38"/>
    <n v="89"/>
    <n v="0.45"/>
    <n v="53400"/>
    <n v="10"/>
    <n v="4"/>
    <n v="6"/>
    <n v="121"/>
  </r>
  <r>
    <n v="95200208"/>
    <x v="260"/>
    <s v="AM"/>
    <x v="2"/>
    <s v="Kaduna"/>
    <n v="95200220"/>
    <s v="Michael Bethel Olufunmilayo"/>
    <n v="210001"/>
    <x v="2"/>
    <n v="95200"/>
    <n v="176"/>
    <s v="N"/>
    <n v="34"/>
    <n v="33"/>
    <n v="67"/>
    <n v="0.43"/>
    <n v="40200"/>
    <n v="6"/>
    <n v="3"/>
    <n v="3"/>
    <n v="187"/>
  </r>
  <r>
    <n v="95200210"/>
    <x v="261"/>
    <s v="AM"/>
    <x v="2"/>
    <s v="Delta"/>
    <n v="150021"/>
    <s v="CHINEMEREM WISDOM EMMANUEL"/>
    <n v="210001"/>
    <x v="2"/>
    <n v="124400"/>
    <n v="136"/>
    <s v="Y"/>
    <n v="53"/>
    <n v="51"/>
    <n v="104"/>
    <n v="0.44"/>
    <n v="62400"/>
    <n v="11"/>
    <n v="7"/>
    <n v="4"/>
    <n v="95"/>
  </r>
  <r>
    <n v="95200214"/>
    <x v="262"/>
    <s v="AM"/>
    <x v="2"/>
    <s v="Delta"/>
    <n v="150021"/>
    <s v="CHINEMEREM WISDOM EMMANUEL"/>
    <n v="210001"/>
    <x v="2"/>
    <n v="109600"/>
    <n v="160"/>
    <s v="Y"/>
    <n v="32"/>
    <n v="44"/>
    <n v="76"/>
    <n v="0.48"/>
    <n v="45600"/>
    <n v="6"/>
    <n v="2"/>
    <n v="4"/>
    <n v="192"/>
  </r>
  <r>
    <n v="952002160"/>
    <x v="263"/>
    <s v="AM"/>
    <x v="2"/>
    <s v="Delta"/>
    <n v="150021"/>
    <s v="CHINEMEREM WISDOM EMMANUEL"/>
    <n v="210001"/>
    <x v="2"/>
    <n v="128600"/>
    <n v="128"/>
    <s v="Y"/>
    <n v="25"/>
    <n v="42"/>
    <n v="67"/>
    <n v="0.53"/>
    <n v="53600"/>
    <n v="9"/>
    <n v="6"/>
    <n v="3"/>
    <n v="134"/>
  </r>
  <r>
    <n v="952002170"/>
    <x v="264"/>
    <s v="AM"/>
    <x v="2"/>
    <s v="Delta"/>
    <n v="150021"/>
    <s v="CHINEMEREM WISDOM EMMANUEL"/>
    <n v="210001"/>
    <x v="2"/>
    <n v="104600"/>
    <n v="166"/>
    <s v="Y"/>
    <n v="30"/>
    <n v="42"/>
    <n v="72"/>
    <n v="0.53"/>
    <n v="57600"/>
    <n v="5"/>
    <n v="2"/>
    <n v="3"/>
    <n v="216"/>
  </r>
  <r>
    <n v="95200221"/>
    <x v="265"/>
    <s v="AM"/>
    <x v="2"/>
    <s v="Rivers"/>
    <n v="430027"/>
    <s v="adeyemidavid"/>
    <n v="210001"/>
    <x v="2"/>
    <n v="125600"/>
    <n v="132"/>
    <s v="Y"/>
    <n v="88"/>
    <n v="64"/>
    <n v="152"/>
    <n v="0.57999999999999996"/>
    <n v="121600"/>
    <n v="16"/>
    <n v="16"/>
    <n v="0"/>
    <n v="38"/>
  </r>
  <r>
    <n v="952002221"/>
    <x v="266"/>
    <s v="AM"/>
    <x v="2"/>
    <s v="Rivers"/>
    <n v="430027"/>
    <s v="adeyemidavid"/>
    <n v="210001"/>
    <x v="2"/>
    <n v="10000"/>
    <n v="263"/>
    <s v="N"/>
    <n v="13"/>
    <n v="0"/>
    <n v="13"/>
    <n v="0"/>
    <n v="0"/>
    <n v="2"/>
    <n v="0"/>
    <n v="2"/>
    <n v="249"/>
  </r>
  <r>
    <n v="95200230"/>
    <x v="267"/>
    <s v="AM"/>
    <x v="2"/>
    <s v="Kaduna"/>
    <n v="95200220"/>
    <s v="Michael Bethel Olufunmilayo"/>
    <n v="210001"/>
    <x v="2"/>
    <n v="55200"/>
    <n v="222"/>
    <s v="N"/>
    <n v="28"/>
    <n v="24"/>
    <n v="52"/>
    <n v="0.48"/>
    <n v="31200"/>
    <n v="5"/>
    <n v="1"/>
    <n v="4"/>
    <n v="217"/>
  </r>
  <r>
    <n v="95200231"/>
    <x v="268"/>
    <s v="AM"/>
    <x v="2"/>
    <s v="Kaduna"/>
    <n v="95200220"/>
    <s v="Michael Bethel Olufunmilayo"/>
    <n v="210001"/>
    <x v="2"/>
    <n v="126000"/>
    <n v="131"/>
    <s v="Y"/>
    <n v="64"/>
    <n v="51"/>
    <n v="115"/>
    <n v="0.53"/>
    <n v="92000"/>
    <n v="9"/>
    <n v="7"/>
    <n v="2"/>
    <n v="149"/>
  </r>
  <r>
    <n v="95200232"/>
    <x v="269"/>
    <s v="AM"/>
    <x v="2"/>
    <s v="Rivers"/>
    <n v="2101070003"/>
    <s v="Daniel Akoh"/>
    <n v="210001"/>
    <x v="2"/>
    <n v="174600"/>
    <n v="75"/>
    <s v="Y"/>
    <n v="61"/>
    <n v="56"/>
    <n v="117"/>
    <n v="0.53"/>
    <n v="93600"/>
    <n v="13"/>
    <n v="8"/>
    <n v="5"/>
    <n v="73"/>
  </r>
  <r>
    <n v="952002355"/>
    <x v="270"/>
    <s v="AM"/>
    <x v="2"/>
    <s v="Rivers"/>
    <n v="2101070003"/>
    <s v="Daniel Akoh"/>
    <n v="210001"/>
    <x v="2"/>
    <n v="0"/>
    <n v="274"/>
    <s v="N"/>
    <n v="1"/>
    <n v="0"/>
    <n v="1"/>
    <n v="0"/>
    <n v="0"/>
    <n v="0"/>
    <n v="0"/>
    <n v="0"/>
    <n v="306"/>
  </r>
  <r>
    <n v="953009092"/>
    <x v="271"/>
    <s v="AM"/>
    <x v="0"/>
    <s v="Cross River"/>
    <n v="953009090"/>
    <s v="Ejike Favour Ngozika"/>
    <n v="400000122"/>
    <x v="0"/>
    <n v="152400"/>
    <n v="95"/>
    <s v="Y"/>
    <n v="73"/>
    <n v="20"/>
    <n v="93"/>
    <n v="0.56999999999999995"/>
    <n v="74400"/>
    <n v="14"/>
    <n v="12"/>
    <n v="2"/>
    <n v="52"/>
  </r>
  <r>
    <n v="953009093"/>
    <x v="272"/>
    <s v="AM"/>
    <x v="0"/>
    <s v="Cross River"/>
    <n v="953009090"/>
    <s v="Ejike Favour Ngozika"/>
    <n v="400000122"/>
    <x v="0"/>
    <n v="149000"/>
    <n v="98"/>
    <s v="Y"/>
    <n v="45"/>
    <n v="32"/>
    <n v="77"/>
    <n v="0.7"/>
    <n v="77000"/>
    <n v="12"/>
    <n v="10"/>
    <n v="2"/>
    <n v="82"/>
  </r>
  <r>
    <n v="953009094"/>
    <x v="273"/>
    <s v="AM"/>
    <x v="0"/>
    <s v="Cross River"/>
    <n v="200000"/>
    <s v="Adelusi Oluwatobi"/>
    <n v="400000122"/>
    <x v="0"/>
    <n v="174000"/>
    <n v="76"/>
    <s v="Y"/>
    <n v="124"/>
    <n v="44"/>
    <n v="168"/>
    <n v="0.61"/>
    <n v="168000"/>
    <n v="17"/>
    <n v="26"/>
    <n v="0"/>
    <n v="29"/>
  </r>
  <r>
    <n v="953009097"/>
    <x v="274"/>
    <s v="AM"/>
    <x v="0"/>
    <s v="Cross River"/>
    <n v="200000"/>
    <s v="Adelusi Oluwatobi"/>
    <n v="400000122"/>
    <x v="0"/>
    <n v="5000"/>
    <n v="266"/>
    <s v="N"/>
    <n v="7"/>
    <n v="0"/>
    <n v="7"/>
    <n v="0"/>
    <n v="0"/>
    <n v="1"/>
    <n v="0"/>
    <n v="1"/>
    <n v="270"/>
  </r>
  <r>
    <n v="953009098"/>
    <x v="275"/>
    <s v="AM"/>
    <x v="0"/>
    <s v="Cross River"/>
    <n v="200000"/>
    <s v="Adelusi Oluwatobi"/>
    <n v="400000122"/>
    <x v="0"/>
    <n v="5000"/>
    <n v="266"/>
    <s v="N"/>
    <n v="5"/>
    <n v="0"/>
    <n v="5"/>
    <n v="0"/>
    <n v="0"/>
    <n v="1"/>
    <n v="0"/>
    <n v="1"/>
    <n v="267"/>
  </r>
  <r>
    <n v="953009099"/>
    <x v="276"/>
    <s v="AM"/>
    <x v="0"/>
    <s v="Cross River"/>
    <n v="953009090"/>
    <s v="Ejike Favour Ngozika"/>
    <n v="400000122"/>
    <x v="0"/>
    <n v="0"/>
    <n v="274"/>
    <s v="N"/>
    <n v="2"/>
    <n v="0"/>
    <n v="2"/>
    <n v="0"/>
    <n v="0"/>
    <n v="0"/>
    <n v="0"/>
    <n v="0"/>
    <n v="308"/>
  </r>
  <r>
    <n v="953009100"/>
    <x v="277"/>
    <s v="AM"/>
    <x v="0"/>
    <s v="Cross River"/>
    <n v="953009090"/>
    <s v="Ejike Favour Ngozika"/>
    <n v="400000122"/>
    <x v="0"/>
    <n v="0"/>
    <n v="274"/>
    <s v="N"/>
    <n v="0"/>
    <n v="0"/>
    <n v="0"/>
    <n v="0"/>
    <n v="0"/>
    <n v="0"/>
    <n v="0"/>
    <n v="0"/>
    <n v="294"/>
  </r>
  <r>
    <n v="953009101"/>
    <x v="278"/>
    <s v="AM"/>
    <x v="0"/>
    <s v="Cross River"/>
    <n v="200000"/>
    <s v="Adelusi Oluwatobi"/>
    <n v="400000122"/>
    <x v="0"/>
    <n v="5000"/>
    <n v="266"/>
    <s v="N"/>
    <n v="5"/>
    <n v="0"/>
    <n v="5"/>
    <n v="0"/>
    <n v="0"/>
    <n v="1"/>
    <n v="0"/>
    <n v="1"/>
    <n v="268"/>
  </r>
  <r>
    <n v="960000125"/>
    <x v="279"/>
    <s v="AM"/>
    <x v="5"/>
    <s v="Oyo"/>
    <n v="380040"/>
    <s v="anthonyakleche"/>
    <n v="300910002"/>
    <x v="5"/>
    <n v="114000"/>
    <n v="147"/>
    <s v="Y"/>
    <n v="105"/>
    <n v="9"/>
    <n v="114"/>
    <n v="0.67"/>
    <n v="114000"/>
    <n v="12"/>
    <n v="17"/>
    <n v="0"/>
    <n v="88"/>
  </r>
  <r>
    <n v="960000131"/>
    <x v="280"/>
    <s v="AM"/>
    <x v="5"/>
    <s v="Ogun"/>
    <n v="96200205"/>
    <s v="ADEGOKE ADEYINKA"/>
    <n v="300910002"/>
    <x v="5"/>
    <n v="14400"/>
    <n v="258"/>
    <s v="N"/>
    <n v="1"/>
    <n v="12"/>
    <n v="13"/>
    <n v="0.51"/>
    <n v="10400"/>
    <n v="1"/>
    <n v="1"/>
    <n v="0"/>
    <n v="261"/>
  </r>
  <r>
    <n v="960000200"/>
    <x v="281"/>
    <s v="AM"/>
    <x v="5"/>
    <s v="Osun"/>
    <n v="9620000210"/>
    <s v="Arasi Quadry Abiodun"/>
    <n v="300910002"/>
    <x v="5"/>
    <n v="362400"/>
    <n v="12"/>
    <s v="Y"/>
    <n v="111"/>
    <n v="16"/>
    <n v="127"/>
    <n v="0.87"/>
    <n v="152400"/>
    <n v="13"/>
    <n v="7"/>
    <n v="6"/>
    <n v="70"/>
  </r>
  <r>
    <n v="960000203"/>
    <x v="282"/>
    <s v="AM"/>
    <x v="5"/>
    <s v="Ondo"/>
    <n v="230019"/>
    <s v="ogbeidefrancis"/>
    <n v="300910002"/>
    <x v="5"/>
    <n v="153800"/>
    <n v="93"/>
    <s v="Y"/>
    <n v="83"/>
    <n v="16"/>
    <n v="99"/>
    <n v="0.71"/>
    <n v="118800"/>
    <n v="14"/>
    <n v="13"/>
    <n v="1"/>
    <n v="53"/>
  </r>
  <r>
    <n v="960000240"/>
    <x v="283"/>
    <s v="AM"/>
    <x v="0"/>
    <s v="Imo"/>
    <n v="95000205"/>
    <s v="Ogwuagba Chinomso Peace"/>
    <n v="400000122"/>
    <x v="0"/>
    <n v="334200"/>
    <n v="14"/>
    <s v="Y"/>
    <n v="132"/>
    <n v="59"/>
    <n v="191"/>
    <n v="0.71"/>
    <n v="229200"/>
    <n v="25"/>
    <n v="22"/>
    <n v="3"/>
    <n v="7"/>
  </r>
  <r>
    <n v="960000241"/>
    <x v="284"/>
    <s v="AM"/>
    <x v="0"/>
    <s v="Imo"/>
    <n v="270001"/>
    <s v="Emmanuel Dominion"/>
    <n v="400000122"/>
    <x v="0"/>
    <n v="446800"/>
    <n v="7"/>
    <s v="Y"/>
    <n v="83"/>
    <n v="56"/>
    <n v="139"/>
    <n v="0.87"/>
    <n v="166800"/>
    <n v="22"/>
    <n v="14"/>
    <n v="8"/>
    <n v="13"/>
  </r>
  <r>
    <n v="960000242"/>
    <x v="285"/>
    <s v="AM"/>
    <x v="0"/>
    <s v="Imo"/>
    <n v="270047"/>
    <s v="Okegbuna Johnbosco Tochukwu"/>
    <n v="400000122"/>
    <x v="0"/>
    <n v="330200"/>
    <n v="15"/>
    <s v="Y"/>
    <n v="75"/>
    <n v="51"/>
    <n v="126"/>
    <n v="0.77"/>
    <n v="151200"/>
    <n v="17"/>
    <n v="12"/>
    <n v="5"/>
    <n v="32"/>
  </r>
  <r>
    <n v="960000243"/>
    <x v="286"/>
    <s v="AM"/>
    <x v="0"/>
    <s v="Imo"/>
    <n v="270047"/>
    <s v="Okegbuna Johnbosco Tochukwu"/>
    <n v="400000122"/>
    <x v="0"/>
    <n v="276000"/>
    <n v="27"/>
    <s v="Y"/>
    <n v="92"/>
    <n v="40"/>
    <n v="132"/>
    <n v="0.63"/>
    <n v="132000"/>
    <n v="17"/>
    <n v="13"/>
    <n v="4"/>
    <n v="26"/>
  </r>
  <r>
    <n v="960000244"/>
    <x v="287"/>
    <s v="AM"/>
    <x v="0"/>
    <s v="Imo"/>
    <n v="270001"/>
    <s v="Emmanuel Dominion"/>
    <n v="400000122"/>
    <x v="0"/>
    <n v="553000"/>
    <n v="3"/>
    <s v="Y"/>
    <n v="128"/>
    <n v="67"/>
    <n v="195"/>
    <n v="0.82"/>
    <n v="234000"/>
    <n v="24"/>
    <n v="15"/>
    <n v="9"/>
    <n v="9"/>
  </r>
  <r>
    <n v="960000245"/>
    <x v="288"/>
    <s v="AM"/>
    <x v="0"/>
    <s v="Imo"/>
    <n v="270047"/>
    <s v="Okegbuna Johnbosco Tochukwu"/>
    <n v="400000122"/>
    <x v="0"/>
    <n v="219800"/>
    <n v="46"/>
    <s v="Y"/>
    <n v="79"/>
    <n v="15"/>
    <n v="94"/>
    <n v="0.77"/>
    <n v="112800"/>
    <n v="14"/>
    <n v="11"/>
    <n v="3"/>
    <n v="50"/>
  </r>
  <r>
    <n v="960000250"/>
    <x v="289"/>
    <s v="AM"/>
    <x v="0"/>
    <s v="Imo"/>
    <n v="95000205"/>
    <s v="Ogwuagba Chinomso Peace"/>
    <n v="400000122"/>
    <x v="0"/>
    <n v="0"/>
    <n v="274"/>
    <s v="N"/>
    <n v="0"/>
    <n v="0"/>
    <n v="0"/>
    <n v="0"/>
    <n v="0"/>
    <n v="0"/>
    <n v="0"/>
    <n v="0"/>
    <n v="296"/>
  </r>
  <r>
    <n v="9600004244"/>
    <x v="290"/>
    <s v="AM"/>
    <x v="0"/>
    <s v="Imo"/>
    <n v="270047"/>
    <s v="Okegbuna Johnbosco Tochukwu"/>
    <n v="400000122"/>
    <x v="0"/>
    <n v="0"/>
    <n v="274"/>
    <s v="N"/>
    <n v="0"/>
    <n v="0"/>
    <n v="0"/>
    <n v="0"/>
    <n v="0"/>
    <n v="0"/>
    <n v="0"/>
    <n v="0"/>
    <n v="301"/>
  </r>
  <r>
    <n v="96000103"/>
    <x v="291"/>
    <s v="AM"/>
    <x v="5"/>
    <s v="Oyo"/>
    <n v="96200201"/>
    <s v="OZAH RITA NKEMDILIM"/>
    <n v="300910002"/>
    <x v="5"/>
    <n v="159400"/>
    <n v="85"/>
    <s v="Y"/>
    <n v="79"/>
    <n v="55"/>
    <n v="134"/>
    <n v="0.41"/>
    <n v="80400"/>
    <n v="17"/>
    <n v="14"/>
    <n v="3"/>
    <n v="24"/>
  </r>
  <r>
    <n v="96000108"/>
    <x v="292"/>
    <s v="AM"/>
    <x v="5"/>
    <s v="Ondo"/>
    <n v="302120004"/>
    <s v="Oyekunle Taiwo Adesola"/>
    <n v="300910002"/>
    <x v="5"/>
    <n v="391000"/>
    <n v="9"/>
    <s v="Y"/>
    <n v="146"/>
    <n v="33"/>
    <n v="179"/>
    <n v="0.66"/>
    <n v="179000"/>
    <n v="23"/>
    <n v="17"/>
    <n v="6"/>
    <n v="12"/>
  </r>
  <r>
    <n v="96000112"/>
    <x v="293"/>
    <s v="AM"/>
    <x v="5"/>
    <s v="Ondo"/>
    <n v="302120004"/>
    <s v="Oyekunle Taiwo Adesola"/>
    <n v="300910002"/>
    <x v="5"/>
    <n v="136600"/>
    <n v="118"/>
    <s v="Y"/>
    <n v="68"/>
    <n v="15"/>
    <n v="83"/>
    <n v="0.79"/>
    <n v="99600"/>
    <n v="11"/>
    <n v="10"/>
    <n v="1"/>
    <n v="91"/>
  </r>
  <r>
    <n v="96000113"/>
    <x v="294"/>
    <s v="AM"/>
    <x v="5"/>
    <s v="Osun"/>
    <n v="400000"/>
    <s v="Omonijo Adejumoke Janet"/>
    <n v="300910002"/>
    <x v="5"/>
    <n v="611600"/>
    <n v="1"/>
    <s v="Y"/>
    <n v="381"/>
    <n v="27"/>
    <n v="408"/>
    <n v="0.93"/>
    <n v="489600"/>
    <n v="29"/>
    <n v="21"/>
    <n v="8"/>
    <n v="2"/>
  </r>
  <r>
    <n v="96000115"/>
    <x v="295"/>
    <s v="AM"/>
    <x v="5"/>
    <s v="Ondo"/>
    <n v="302120004"/>
    <s v="Oyekunle Taiwo Adesola"/>
    <n v="300910002"/>
    <x v="5"/>
    <n v="282800"/>
    <n v="24"/>
    <s v="Y"/>
    <n v="98"/>
    <n v="21"/>
    <n v="119"/>
    <n v="0.89"/>
    <n v="142800"/>
    <n v="17"/>
    <n v="13"/>
    <n v="4"/>
    <n v="25"/>
  </r>
  <r>
    <n v="96000121"/>
    <x v="296"/>
    <s v="AM"/>
    <x v="5"/>
    <s v="Osun"/>
    <n v="9620000210"/>
    <s v="Arasi Quadry Abiodun"/>
    <n v="300910002"/>
    <x v="5"/>
    <n v="167000"/>
    <n v="79"/>
    <s v="Y"/>
    <n v="82"/>
    <n v="18"/>
    <n v="100"/>
    <n v="0.79"/>
    <n v="120000"/>
    <n v="12"/>
    <n v="9"/>
    <n v="3"/>
    <n v="87"/>
  </r>
  <r>
    <n v="96000124"/>
    <x v="297"/>
    <s v="AM"/>
    <x v="5"/>
    <s v="Oyo"/>
    <n v="96200201"/>
    <s v="OZAH RITA NKEMDILIM"/>
    <n v="300910002"/>
    <x v="5"/>
    <n v="93800"/>
    <n v="178"/>
    <s v="N"/>
    <n v="50"/>
    <n v="31"/>
    <n v="81"/>
    <n v="0.52"/>
    <n v="64800"/>
    <n v="9"/>
    <n v="8"/>
    <n v="1"/>
    <n v="142"/>
  </r>
  <r>
    <n v="960001267"/>
    <x v="298"/>
    <s v="AM"/>
    <x v="5"/>
    <s v="Oyo"/>
    <n v="96200201"/>
    <s v="OZAH RITA NKEMDILIM"/>
    <n v="300910002"/>
    <x v="5"/>
    <n v="81000"/>
    <n v="194"/>
    <s v="N"/>
    <n v="38"/>
    <n v="32"/>
    <n v="70"/>
    <n v="0.53"/>
    <n v="56000"/>
    <n v="7"/>
    <n v="6"/>
    <n v="1"/>
    <n v="171"/>
  </r>
  <r>
    <n v="960001268"/>
    <x v="299"/>
    <s v="AM"/>
    <x v="5"/>
    <s v="Oyo"/>
    <n v="96200201"/>
    <s v="OZAH RITA NKEMDILIM"/>
    <n v="300910002"/>
    <x v="5"/>
    <n v="74800"/>
    <n v="201"/>
    <s v="N"/>
    <n v="33"/>
    <n v="30"/>
    <n v="63"/>
    <n v="0.43"/>
    <n v="37800"/>
    <n v="8"/>
    <n v="7"/>
    <n v="1"/>
    <n v="165"/>
  </r>
  <r>
    <n v="960001269"/>
    <x v="300"/>
    <s v="AM"/>
    <x v="5"/>
    <s v="Oyo"/>
    <n v="96200201"/>
    <s v="OZAH RITA NKEMDILIM"/>
    <n v="300910002"/>
    <x v="5"/>
    <n v="0"/>
    <n v="274"/>
    <s v="N"/>
    <n v="0"/>
    <n v="0"/>
    <n v="0"/>
    <n v="0"/>
    <n v="0"/>
    <n v="0"/>
    <n v="0"/>
    <n v="0"/>
    <n v="300"/>
  </r>
  <r>
    <n v="96000128"/>
    <x v="301"/>
    <s v="AM"/>
    <x v="5"/>
    <s v="Ogun"/>
    <n v="96200205"/>
    <s v="ADEGOKE ADEYINKA"/>
    <n v="300910002"/>
    <x v="5"/>
    <n v="102800"/>
    <n v="171"/>
    <s v="Y"/>
    <n v="35"/>
    <n v="93"/>
    <n v="128"/>
    <n v="0.41"/>
    <n v="76800"/>
    <n v="11"/>
    <n v="7"/>
    <n v="4"/>
    <n v="110"/>
  </r>
  <r>
    <n v="96000129"/>
    <x v="302"/>
    <s v="AM"/>
    <x v="5"/>
    <s v="Ogun"/>
    <n v="96200205"/>
    <s v="ADEGOKE ADEYINKA"/>
    <n v="300910002"/>
    <x v="5"/>
    <n v="113400"/>
    <n v="150"/>
    <s v="Y"/>
    <n v="21"/>
    <n v="43"/>
    <n v="64"/>
    <n v="0.48"/>
    <n v="38400"/>
    <n v="6"/>
    <n v="3"/>
    <n v="3"/>
    <n v="194"/>
  </r>
  <r>
    <n v="96000130"/>
    <x v="303"/>
    <s v="AM"/>
    <x v="5"/>
    <s v="Ogun"/>
    <n v="96200205"/>
    <s v="ADEGOKE ADEYINKA"/>
    <n v="300910002"/>
    <x v="5"/>
    <n v="2000"/>
    <n v="270"/>
    <s v="N"/>
    <n v="18"/>
    <n v="18"/>
    <n v="36"/>
    <n v="0.38"/>
    <n v="0"/>
    <n v="0"/>
    <n v="1"/>
    <n v="0"/>
    <n v="286"/>
  </r>
  <r>
    <n v="96000150"/>
    <x v="304"/>
    <s v="AM"/>
    <x v="2"/>
    <s v="Edo"/>
    <n v="230046"/>
    <s v="Otoikhian Joshua Oziegbe"/>
    <n v="210001"/>
    <x v="2"/>
    <n v="57000"/>
    <n v="219"/>
    <s v="N"/>
    <n v="38"/>
    <n v="19"/>
    <n v="57"/>
    <n v="0.63"/>
    <n v="57000"/>
    <n v="6"/>
    <n v="9"/>
    <n v="0"/>
    <n v="190"/>
  </r>
  <r>
    <n v="96000160"/>
    <x v="305"/>
    <s v="AM"/>
    <x v="5"/>
    <s v="Osun"/>
    <n v="400000"/>
    <s v="Omonijo Adejumoke Janet"/>
    <n v="300910002"/>
    <x v="5"/>
    <n v="116000"/>
    <n v="143"/>
    <s v="Y"/>
    <n v="74"/>
    <n v="10"/>
    <n v="84"/>
    <n v="0.66"/>
    <n v="84000"/>
    <n v="9"/>
    <n v="3"/>
    <n v="6"/>
    <n v="141"/>
  </r>
  <r>
    <n v="96000202"/>
    <x v="306"/>
    <s v="AM"/>
    <x v="5"/>
    <s v="Ondo"/>
    <n v="302120004"/>
    <s v="Oyekunle Taiwo Adesola"/>
    <n v="300910002"/>
    <x v="5"/>
    <n v="241600"/>
    <n v="37"/>
    <s v="Y"/>
    <n v="109"/>
    <n v="34"/>
    <n v="143"/>
    <n v="0.76"/>
    <n v="171600"/>
    <n v="18"/>
    <n v="16"/>
    <n v="2"/>
    <n v="23"/>
  </r>
  <r>
    <n v="96200209"/>
    <x v="307"/>
    <s v="AM"/>
    <x v="5"/>
    <s v="Osun"/>
    <n v="9620000210"/>
    <s v="Arasi Quadry Abiodun"/>
    <n v="300910002"/>
    <x v="5"/>
    <n v="310800"/>
    <n v="17"/>
    <s v="Y"/>
    <n v="166"/>
    <n v="18"/>
    <n v="184"/>
    <n v="0.84"/>
    <n v="220800"/>
    <n v="17"/>
    <n v="11"/>
    <n v="6"/>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FD4DA-53DA-43B5-BD36-12E737F5BDCC}" name="PivotTable6" cacheId="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C2" firstHeaderRow="1" firstDataRow="1" firstDataCol="0"/>
  <pivotFields count="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h="1" x="5"/>
        <item h="1" x="0"/>
        <item h="1" x="4"/>
        <item x="6"/>
        <item h="1" x="1"/>
        <item h="1" x="3"/>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s>
  <rowItems count="1">
    <i/>
  </rowItems>
  <colItems count="1">
    <i/>
  </colItems>
  <dataFields count="1">
    <dataField name="Sum of qualified aggr last Month"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4C72B-46B5-4406-B5A9-1604B3EFEF81}" name="PivotTable5" cacheId="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A2" firstHeaderRow="1" firstDataRow="1" firstDataCol="0"/>
  <pivotFields count="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h="1" x="5"/>
        <item h="1" x="0"/>
        <item h="1" x="4"/>
        <item x="6"/>
        <item h="1" x="1"/>
        <item h="1" x="3"/>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Items count="1">
    <i/>
  </rowItems>
  <colItems count="1">
    <i/>
  </colItems>
  <dataFields count="1">
    <dataField name="Sum of Qualified aggr this month"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CC735A-D14B-4A8F-9D46-0A2F98F84151}" name="PivotTable4" cacheId="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4:F145" firstHeaderRow="0" firstDataRow="1" firstDataCol="2"/>
  <pivotFields count="21">
    <pivotField compact="0" outline="0" showAll="0" defaultSubtotal="0"/>
    <pivotField axis="axisRow" compact="0" outline="0" showAll="0" measureFilter="1" sortType="ascending" defaultSubtotal="0">
      <items count="311">
        <item x="100"/>
        <item x="179"/>
        <item x="43"/>
        <item x="199"/>
        <item x="177"/>
        <item x="148"/>
        <item x="192"/>
        <item x="183"/>
        <item x="138"/>
        <item x="191"/>
        <item x="13"/>
        <item x="121"/>
        <item x="99"/>
        <item x="201"/>
        <item x="60"/>
        <item x="101"/>
        <item x="150"/>
        <item x="175"/>
        <item x="206"/>
        <item x="294"/>
        <item x="80"/>
        <item x="103"/>
        <item x="20"/>
        <item x="116"/>
        <item x="84"/>
        <item x="293"/>
        <item x="117"/>
        <item x="196"/>
        <item x="81"/>
        <item x="158"/>
        <item x="48"/>
        <item x="54"/>
        <item x="51"/>
        <item x="291"/>
        <item x="3"/>
        <item x="129"/>
        <item x="39"/>
        <item x="114"/>
        <item x="263"/>
        <item x="104"/>
        <item x="176"/>
        <item x="260"/>
        <item x="147"/>
        <item x="295"/>
        <item x="122"/>
        <item x="12"/>
        <item x="95"/>
        <item x="170"/>
        <item x="163"/>
        <item x="169"/>
        <item x="90"/>
        <item x="144"/>
        <item x="140"/>
        <item x="208"/>
        <item x="224"/>
        <item x="110"/>
        <item x="102"/>
        <item x="56"/>
        <item x="164"/>
        <item x="261"/>
        <item x="288"/>
        <item x="272"/>
        <item x="105"/>
        <item x="202"/>
        <item x="17"/>
        <item x="283"/>
        <item x="184"/>
        <item x="178"/>
        <item x="218"/>
        <item x="19"/>
        <item x="298"/>
        <item x="128"/>
        <item x="281"/>
        <item x="187"/>
        <item x="23"/>
        <item x="119"/>
        <item x="223"/>
        <item x="197"/>
        <item x="204"/>
        <item x="161"/>
        <item x="257"/>
        <item x="304"/>
        <item m="1" x="310"/>
        <item x="47"/>
        <item x="271"/>
        <item x="225"/>
        <item x="70"/>
        <item x="42"/>
        <item x="35"/>
        <item x="213"/>
        <item x="157"/>
        <item x="72"/>
        <item x="262"/>
        <item x="27"/>
        <item x="40"/>
        <item x="89"/>
        <item x="143"/>
        <item x="30"/>
        <item x="118"/>
        <item x="136"/>
        <item x="211"/>
        <item x="6"/>
        <item x="253"/>
        <item x="29"/>
        <item x="64"/>
        <item x="249"/>
        <item x="71"/>
        <item x="53"/>
        <item x="247"/>
        <item x="282"/>
        <item m="1" x="308"/>
        <item x="302"/>
        <item x="125"/>
        <item x="227"/>
        <item x="73"/>
        <item x="98"/>
        <item x="303"/>
        <item x="305"/>
        <item x="207"/>
        <item x="44"/>
        <item x="284"/>
        <item x="248"/>
        <item x="36"/>
        <item x="37"/>
        <item x="15"/>
        <item x="61"/>
        <item x="160"/>
        <item x="11"/>
        <item x="286"/>
        <item x="173"/>
        <item x="222"/>
        <item x="49"/>
        <item x="168"/>
        <item x="141"/>
        <item x="212"/>
        <item x="142"/>
        <item x="58"/>
        <item x="198"/>
        <item x="297"/>
        <item x="50"/>
        <item x="209"/>
        <item x="228"/>
        <item x="83"/>
        <item x="41"/>
        <item x="97"/>
        <item x="156"/>
        <item x="171"/>
        <item x="152"/>
        <item x="85"/>
        <item x="258"/>
        <item x="74"/>
        <item x="52"/>
        <item x="252"/>
        <item x="108"/>
        <item x="79"/>
        <item x="151"/>
        <item x="18"/>
        <item x="172"/>
        <item x="146"/>
        <item x="7"/>
        <item x="45"/>
        <item x="0"/>
        <item x="220"/>
        <item x="215"/>
        <item x="203"/>
        <item x="154"/>
        <item x="166"/>
        <item x="162"/>
        <item x="159"/>
        <item x="55"/>
        <item x="34"/>
        <item x="189"/>
        <item x="153"/>
        <item x="186"/>
        <item x="4"/>
        <item x="180"/>
        <item x="2"/>
        <item x="269"/>
        <item x="96"/>
        <item x="259"/>
        <item x="1"/>
        <item x="46"/>
        <item x="131"/>
        <item x="32"/>
        <item x="5"/>
        <item x="77"/>
        <item x="273"/>
        <item x="115"/>
        <item x="22"/>
        <item x="76"/>
        <item x="226"/>
        <item x="264"/>
        <item x="174"/>
        <item x="287"/>
        <item x="219"/>
        <item x="9"/>
        <item x="185"/>
        <item x="31"/>
        <item x="109"/>
        <item x="57"/>
        <item x="307"/>
        <item x="267"/>
        <item x="94"/>
        <item x="21"/>
        <item x="65"/>
        <item x="127"/>
        <item x="292"/>
        <item x="92"/>
        <item x="299"/>
        <item x="167"/>
        <item x="145"/>
        <item x="134"/>
        <item x="296"/>
        <item x="306"/>
        <item x="88"/>
        <item x="194"/>
        <item x="107"/>
        <item x="120"/>
        <item x="111"/>
        <item x="8"/>
        <item x="16"/>
        <item x="86"/>
        <item x="285"/>
        <item x="155"/>
        <item x="229"/>
        <item x="91"/>
        <item x="265"/>
        <item x="137"/>
        <item x="139"/>
        <item x="93"/>
        <item x="82"/>
        <item x="75"/>
        <item x="113"/>
        <item x="255"/>
        <item x="279"/>
        <item x="33"/>
        <item x="135"/>
        <item x="149"/>
        <item x="256"/>
        <item x="78"/>
        <item x="124"/>
        <item x="193"/>
        <item x="112"/>
        <item m="1" x="309"/>
        <item x="195"/>
        <item x="62"/>
        <item x="126"/>
        <item x="10"/>
        <item x="59"/>
        <item x="14"/>
        <item x="301"/>
        <item x="25"/>
        <item x="67"/>
        <item x="130"/>
        <item x="87"/>
        <item x="28"/>
        <item x="182"/>
        <item x="165"/>
        <item x="210"/>
        <item x="106"/>
        <item x="205"/>
        <item x="69"/>
        <item x="270"/>
        <item x="133"/>
        <item x="38"/>
        <item x="26"/>
        <item x="200"/>
        <item x="24"/>
        <item x="268"/>
        <item x="214"/>
        <item x="63"/>
        <item x="181"/>
        <item x="123"/>
        <item x="216"/>
        <item x="132"/>
        <item x="66"/>
        <item x="68"/>
        <item x="188"/>
        <item x="217"/>
        <item x="190"/>
        <item x="221"/>
        <item x="230"/>
        <item x="231"/>
        <item x="232"/>
        <item x="233"/>
        <item x="234"/>
        <item x="235"/>
        <item x="236"/>
        <item x="237"/>
        <item x="238"/>
        <item x="239"/>
        <item x="240"/>
        <item x="241"/>
        <item x="242"/>
        <item x="243"/>
        <item x="244"/>
        <item x="245"/>
        <item x="246"/>
        <item x="250"/>
        <item x="251"/>
        <item x="254"/>
        <item x="266"/>
        <item x="274"/>
        <item x="275"/>
        <item x="276"/>
        <item x="277"/>
        <item x="278"/>
        <item x="280"/>
        <item x="289"/>
        <item x="290"/>
        <item x="300"/>
      </items>
      <autoSortScope>
        <pivotArea dataOnly="0" outline="0" fieldPosition="0">
          <references count="1">
            <reference field="4294967294" count="1" selected="0">
              <x v="3"/>
            </reference>
          </references>
        </pivotArea>
      </autoSortScope>
    </pivotField>
    <pivotField compact="0" outline="0" showAll="0" defaultSubtotal="0"/>
    <pivotField axis="axisRow" compact="0" outline="0" showAll="0" defaultSubtotal="0">
      <items count="8">
        <item x="3"/>
        <item x="1"/>
        <item x="6"/>
        <item x="4"/>
        <item x="0"/>
        <item x="2"/>
        <item x="5"/>
        <item m="1"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h="1" x="5"/>
        <item h="1" x="0"/>
        <item h="1" x="4"/>
        <item x="6"/>
        <item h="1" x="1"/>
        <item h="1" x="3"/>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1"/>
    <field x="3"/>
  </rowFields>
  <rowItems count="21">
    <i>
      <x v="145"/>
      <x v="2"/>
    </i>
    <i>
      <x v="51"/>
      <x v="2"/>
    </i>
    <i>
      <x v="248"/>
      <x v="2"/>
    </i>
    <i>
      <x v="29"/>
      <x v="2"/>
    </i>
    <i>
      <x v="90"/>
      <x v="2"/>
    </i>
    <i>
      <x v="136"/>
      <x v="2"/>
    </i>
    <i>
      <x v="168"/>
      <x v="2"/>
    </i>
    <i>
      <x v="14"/>
      <x v="2"/>
    </i>
    <i>
      <x v="158"/>
      <x v="2"/>
    </i>
    <i>
      <x v="79"/>
      <x v="2"/>
    </i>
    <i>
      <x v="135"/>
      <x v="2"/>
    </i>
    <i>
      <x v="237"/>
      <x v="2"/>
    </i>
    <i>
      <x v="48"/>
      <x v="2"/>
    </i>
    <i>
      <x v="257"/>
      <x v="2"/>
    </i>
    <i>
      <x v="58"/>
      <x v="2"/>
    </i>
    <i>
      <x v="155"/>
      <x v="2"/>
    </i>
    <i>
      <x v="5"/>
      <x v="2"/>
    </i>
    <i>
      <x v="42"/>
      <x v="2"/>
    </i>
    <i>
      <x v="166"/>
      <x v="2"/>
    </i>
    <i>
      <x v="147"/>
      <x v="2"/>
    </i>
    <i t="grand">
      <x/>
    </i>
  </rowItems>
  <colFields count="1">
    <field x="-2"/>
  </colFields>
  <colItems count="4">
    <i>
      <x/>
    </i>
    <i i="1">
      <x v="1"/>
    </i>
    <i i="2">
      <x v="2"/>
    </i>
    <i i="3">
      <x v="3"/>
    </i>
  </colItems>
  <dataFields count="4">
    <dataField name="Sum of Qualified aggr this month" fld="17" baseField="0" baseItem="0"/>
    <dataField name="Sum of qualified aggr last Month" fld="18" baseField="0" baseItem="0"/>
    <dataField name="Sum of 本月净增_x000a_Increase" fld="19" baseField="0" baseItem="0"/>
    <dataField name="Sum of Rank" fld="20" baseField="0" baseItem="0"/>
  </dataFields>
  <pivotTableStyleInfo name="PivotStyleLight16" showRowHeaders="1" showColHeaders="1" showRowStripes="0" showColStripes="0" showLastColumn="1"/>
  <filters count="1">
    <filter fld="1" type="count" evalOrder="-1" id="2" iMeasureFld="3">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C3950-AFB1-4EDD-95D6-B13283AA2365}" name="PivotTable2" cacheId="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F26" firstHeaderRow="0" firstDataRow="1" firstDataCol="2"/>
  <pivotFields count="21">
    <pivotField compact="0" outline="0" showAll="0" defaultSubtotal="0"/>
    <pivotField axis="axisRow" compact="0" outline="0" showAll="0" measureFilter="1" sortType="ascending" defaultSubtotal="0">
      <items count="311">
        <item x="100"/>
        <item x="179"/>
        <item x="43"/>
        <item x="199"/>
        <item x="177"/>
        <item x="148"/>
        <item x="192"/>
        <item x="183"/>
        <item x="138"/>
        <item x="191"/>
        <item x="13"/>
        <item x="121"/>
        <item x="99"/>
        <item x="201"/>
        <item x="60"/>
        <item x="101"/>
        <item x="150"/>
        <item x="175"/>
        <item x="206"/>
        <item x="294"/>
        <item x="80"/>
        <item x="103"/>
        <item x="20"/>
        <item x="116"/>
        <item x="84"/>
        <item x="293"/>
        <item x="117"/>
        <item x="196"/>
        <item x="81"/>
        <item x="158"/>
        <item x="48"/>
        <item x="54"/>
        <item x="51"/>
        <item x="291"/>
        <item x="3"/>
        <item x="129"/>
        <item x="39"/>
        <item x="114"/>
        <item x="263"/>
        <item x="104"/>
        <item x="176"/>
        <item x="260"/>
        <item x="147"/>
        <item x="295"/>
        <item x="122"/>
        <item x="12"/>
        <item x="95"/>
        <item x="170"/>
        <item x="163"/>
        <item x="169"/>
        <item x="90"/>
        <item x="144"/>
        <item x="140"/>
        <item x="208"/>
        <item x="224"/>
        <item x="110"/>
        <item x="102"/>
        <item x="56"/>
        <item x="164"/>
        <item x="261"/>
        <item x="288"/>
        <item x="272"/>
        <item x="105"/>
        <item x="202"/>
        <item x="17"/>
        <item x="283"/>
        <item x="184"/>
        <item x="178"/>
        <item x="218"/>
        <item x="19"/>
        <item x="298"/>
        <item x="128"/>
        <item x="281"/>
        <item x="187"/>
        <item x="23"/>
        <item x="119"/>
        <item x="223"/>
        <item x="197"/>
        <item x="204"/>
        <item x="161"/>
        <item x="257"/>
        <item x="304"/>
        <item m="1" x="310"/>
        <item x="47"/>
        <item x="271"/>
        <item x="225"/>
        <item x="70"/>
        <item x="42"/>
        <item x="35"/>
        <item x="213"/>
        <item x="157"/>
        <item x="72"/>
        <item x="262"/>
        <item x="27"/>
        <item x="40"/>
        <item x="89"/>
        <item x="143"/>
        <item x="30"/>
        <item x="118"/>
        <item x="136"/>
        <item x="211"/>
        <item x="6"/>
        <item x="253"/>
        <item x="29"/>
        <item x="64"/>
        <item x="249"/>
        <item x="71"/>
        <item x="53"/>
        <item x="247"/>
        <item x="282"/>
        <item m="1" x="308"/>
        <item x="302"/>
        <item x="125"/>
        <item x="227"/>
        <item x="73"/>
        <item x="98"/>
        <item x="303"/>
        <item x="305"/>
        <item x="207"/>
        <item x="44"/>
        <item x="284"/>
        <item x="248"/>
        <item x="36"/>
        <item x="37"/>
        <item x="15"/>
        <item x="61"/>
        <item x="160"/>
        <item x="11"/>
        <item x="286"/>
        <item x="173"/>
        <item x="222"/>
        <item x="49"/>
        <item x="168"/>
        <item x="141"/>
        <item x="212"/>
        <item x="142"/>
        <item x="58"/>
        <item x="198"/>
        <item x="297"/>
        <item x="50"/>
        <item x="209"/>
        <item x="228"/>
        <item x="83"/>
        <item x="41"/>
        <item x="97"/>
        <item x="156"/>
        <item x="171"/>
        <item x="152"/>
        <item x="85"/>
        <item x="258"/>
        <item x="74"/>
        <item x="52"/>
        <item x="252"/>
        <item x="108"/>
        <item x="79"/>
        <item x="151"/>
        <item x="18"/>
        <item x="172"/>
        <item x="146"/>
        <item x="7"/>
        <item x="45"/>
        <item x="0"/>
        <item x="220"/>
        <item x="215"/>
        <item x="203"/>
        <item x="154"/>
        <item x="166"/>
        <item x="162"/>
        <item x="159"/>
        <item x="55"/>
        <item x="34"/>
        <item x="189"/>
        <item x="153"/>
        <item x="186"/>
        <item x="4"/>
        <item x="180"/>
        <item x="2"/>
        <item x="269"/>
        <item x="96"/>
        <item x="259"/>
        <item x="1"/>
        <item x="46"/>
        <item x="131"/>
        <item x="32"/>
        <item x="5"/>
        <item x="77"/>
        <item x="273"/>
        <item x="115"/>
        <item x="22"/>
        <item x="76"/>
        <item x="226"/>
        <item x="264"/>
        <item x="174"/>
        <item x="287"/>
        <item x="219"/>
        <item x="9"/>
        <item x="185"/>
        <item x="31"/>
        <item x="109"/>
        <item x="57"/>
        <item x="307"/>
        <item x="267"/>
        <item x="94"/>
        <item x="21"/>
        <item x="65"/>
        <item x="127"/>
        <item x="292"/>
        <item x="92"/>
        <item x="299"/>
        <item x="167"/>
        <item x="145"/>
        <item x="134"/>
        <item x="296"/>
        <item x="306"/>
        <item x="88"/>
        <item x="194"/>
        <item x="107"/>
        <item x="120"/>
        <item x="111"/>
        <item x="8"/>
        <item x="16"/>
        <item x="86"/>
        <item x="285"/>
        <item x="155"/>
        <item x="229"/>
        <item x="91"/>
        <item x="265"/>
        <item x="137"/>
        <item x="139"/>
        <item x="93"/>
        <item x="82"/>
        <item x="75"/>
        <item x="113"/>
        <item x="255"/>
        <item x="279"/>
        <item x="33"/>
        <item x="135"/>
        <item x="149"/>
        <item x="256"/>
        <item x="78"/>
        <item x="124"/>
        <item x="193"/>
        <item x="112"/>
        <item m="1" x="309"/>
        <item x="195"/>
        <item x="62"/>
        <item x="126"/>
        <item x="10"/>
        <item x="59"/>
        <item x="14"/>
        <item x="301"/>
        <item x="25"/>
        <item x="67"/>
        <item x="130"/>
        <item x="87"/>
        <item x="28"/>
        <item x="182"/>
        <item x="165"/>
        <item x="210"/>
        <item x="106"/>
        <item x="205"/>
        <item x="69"/>
        <item x="270"/>
        <item x="133"/>
        <item x="38"/>
        <item x="26"/>
        <item x="200"/>
        <item x="24"/>
        <item x="268"/>
        <item x="214"/>
        <item x="63"/>
        <item x="181"/>
        <item x="123"/>
        <item x="216"/>
        <item x="132"/>
        <item x="66"/>
        <item x="68"/>
        <item x="188"/>
        <item x="217"/>
        <item x="190"/>
        <item x="221"/>
        <item x="230"/>
        <item x="231"/>
        <item x="232"/>
        <item x="233"/>
        <item x="234"/>
        <item x="235"/>
        <item x="236"/>
        <item x="237"/>
        <item x="238"/>
        <item x="239"/>
        <item x="240"/>
        <item x="241"/>
        <item x="242"/>
        <item x="243"/>
        <item x="244"/>
        <item x="245"/>
        <item x="246"/>
        <item x="250"/>
        <item x="251"/>
        <item x="254"/>
        <item x="266"/>
        <item x="274"/>
        <item x="275"/>
        <item x="276"/>
        <item x="277"/>
        <item x="278"/>
        <item x="280"/>
        <item x="289"/>
        <item x="290"/>
        <item x="300"/>
      </items>
      <autoSortScope>
        <pivotArea dataOnly="0" outline="0" fieldPosition="0">
          <references count="1">
            <reference field="4294967294" count="1" selected="0">
              <x v="3"/>
            </reference>
          </references>
        </pivotArea>
      </autoSortScope>
    </pivotField>
    <pivotField compact="0" outline="0" showAll="0" defaultSubtotal="0"/>
    <pivotField axis="axisRow" compact="0" outline="0" showAll="0" defaultSubtotal="0">
      <items count="8">
        <item x="3"/>
        <item x="1"/>
        <item x="6"/>
        <item x="4"/>
        <item x="0"/>
        <item x="2"/>
        <item x="5"/>
        <item m="1"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h="1" x="5"/>
        <item h="1" x="0"/>
        <item h="1" x="4"/>
        <item x="6"/>
        <item h="1" x="1"/>
        <item h="1" x="3"/>
        <item h="1" x="2"/>
      </items>
    </pivotField>
    <pivotField compact="0" outline="0" showAll="0" defaultSubtotal="0"/>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1"/>
    <field x="3"/>
  </rowFields>
  <rowItems count="21">
    <i>
      <x v="210"/>
      <x v="2"/>
    </i>
    <i>
      <x v="16"/>
      <x v="2"/>
    </i>
    <i>
      <x v="96"/>
      <x v="2"/>
    </i>
    <i>
      <x v="145"/>
      <x v="2"/>
    </i>
    <i>
      <x v="51"/>
      <x v="2"/>
    </i>
    <i>
      <x v="248"/>
      <x v="2"/>
    </i>
    <i>
      <x v="29"/>
      <x v="2"/>
    </i>
    <i>
      <x v="90"/>
      <x v="2"/>
    </i>
    <i>
      <x v="136"/>
      <x v="2"/>
    </i>
    <i>
      <x v="168"/>
      <x v="2"/>
    </i>
    <i>
      <x v="14"/>
      <x v="2"/>
    </i>
    <i>
      <x v="158"/>
      <x v="2"/>
    </i>
    <i>
      <x v="79"/>
      <x v="2"/>
    </i>
    <i>
      <x v="135"/>
      <x v="2"/>
    </i>
    <i>
      <x v="237"/>
      <x v="2"/>
    </i>
    <i>
      <x v="48"/>
      <x v="2"/>
    </i>
    <i>
      <x v="257"/>
      <x v="2"/>
    </i>
    <i>
      <x v="58"/>
      <x v="2"/>
    </i>
    <i>
      <x v="155"/>
      <x v="2"/>
    </i>
    <i>
      <x v="5"/>
      <x v="2"/>
    </i>
    <i t="grand">
      <x/>
    </i>
  </rowItems>
  <colFields count="1">
    <field x="-2"/>
  </colFields>
  <colItems count="4">
    <i>
      <x/>
    </i>
    <i i="1">
      <x v="1"/>
    </i>
    <i i="2">
      <x v="2"/>
    </i>
    <i i="3">
      <x v="3"/>
    </i>
  </colItems>
  <dataFields count="4">
    <dataField name="Sum of Qualified aggr this month" fld="17" baseField="0" baseItem="0"/>
    <dataField name="Sum of qualified aggr last Month" fld="18" baseField="0" baseItem="0"/>
    <dataField name="Sum of 本月净增_x000a_Increase" fld="19" baseField="0" baseItem="0"/>
    <dataField name="Sum of Rank" fld="20" baseField="0" baseItem="0"/>
  </dataFields>
  <pivotTableStyleInfo name="PivotStyleLight16" showRowHeaders="1" showColHeaders="1" showRowStripes="0" showColStripes="0" showLastColumn="1"/>
  <filters count="1">
    <filter fld="1" type="count" evalOrder="-1" id="2" iMeasureFld="3">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83179-CE02-4797-8554-369E23473D24}" name="PivotTable7" cacheId="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E2" firstHeaderRow="1" firstDataRow="1" firstDataCol="0"/>
  <pivotFields count="21">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h="1" x="5"/>
        <item h="1" x="0"/>
        <item h="1" x="4"/>
        <item x="6"/>
        <item h="1" x="1"/>
        <item h="1" x="3"/>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Items count="1">
    <i/>
  </colItems>
  <dataFields count="1">
    <dataField name="Count of AM 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M" xr10:uid="{F49D99D9-B9C2-434A-BEA4-C7D1A2258590}" sourceName="RM">
  <pivotTables>
    <pivotTable tabId="5" name="PivotTable2"/>
    <pivotTable tabId="5" name="PivotTable4"/>
    <pivotTable tabId="5" name="PivotTable5"/>
    <pivotTable tabId="5" name="PivotTable6"/>
    <pivotTable tabId="5" name="PivotTable7"/>
  </pivotTables>
  <data>
    <tabular pivotCacheId="1447241426">
      <items count="7">
        <i x="5"/>
        <i x="0"/>
        <i x="4"/>
        <i x="6"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M" xr10:uid="{2E77FD69-7576-44CA-B99E-594A29C94E7E}" cache="Slicer_RM" caption="RM" style="AM SLICE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0ED08-D5C5-41FC-A67B-41573DF29B3D}" name="Table1" displayName="Table1" ref="A1:U309" totalsRowShown="0" headerRowDxfId="23" dataDxfId="22" tableBorderDxfId="21">
  <autoFilter ref="A1:U309" xr:uid="{7698DD8C-C4D3-4990-9CBA-2DF5ED2A1637}"/>
  <tableColumns count="21">
    <tableColumn id="1" xr3:uid="{81BD09A6-F6A0-43FF-9301-443EAE356CD0}" name="AM Code" dataDxfId="20"/>
    <tableColumn id="2" xr3:uid="{18F0353F-BEBC-49E8-A394-9A8C133F83EA}" name="Name" dataDxfId="19"/>
    <tableColumn id="3" xr3:uid="{797AE663-EA9E-46B2-AB19-860DCF935533}" name="Position" dataDxfId="18"/>
    <tableColumn id="4" xr3:uid="{8B4BA4B1-6713-4C16-AA8E-361961E6F9A7}" name="Region" dataDxfId="17"/>
    <tableColumn id="5" xr3:uid="{2634C40F-0681-4B14-A9B7-CD9D8A73EED9}" name="State" dataDxfId="16"/>
    <tableColumn id="6" xr3:uid="{A2027EB1-D85A-497F-AADA-BB8887803C71}" name="SM CODE" dataDxfId="15"/>
    <tableColumn id="7" xr3:uid="{3C9C8B4B-F7FB-4299-B58F-1BFEBA7B4660}" name="SM" dataDxfId="14"/>
    <tableColumn id="8" xr3:uid="{3F511526-981B-42E7-B146-93831AD8520D}" name="RM CODE" dataDxfId="13"/>
    <tableColumn id="9" xr3:uid="{87FBE61C-5AAF-4DA9-8AE0-4B2F995CC971}" name="RM" dataDxfId="12"/>
    <tableColumn id="10" xr3:uid="{98EDB919-29BE-4DD4-88FF-6A620A3942F6}" name="Total Bonus" dataDxfId="11"/>
    <tableColumn id="11" xr3:uid="{363F0705-A23E-4B8F-BC1D-63F49EAEC9BC}" name="排名_x000a_ranking" dataDxfId="10"/>
    <tableColumn id="12" xr3:uid="{0D08CD57-3A2C-4606-9597-4E64FCA58538}" name="是否合格_x000a_qualified or not" dataDxfId="9"/>
    <tableColumn id="13" xr3:uid="{7338A977-4EBD-40D1-A517-28C543EE52F6}" name="本周期新发合格Pos_x000a_Qualified POS in This Month" dataDxfId="8"/>
    <tableColumn id="14" xr3:uid="{E0A17F5E-CD6E-44F8-973D-4855DDDB771B}" name="押金合格pos _x000a_Last Month rollover pos -caution deposit" dataDxfId="7"/>
    <tableColumn id="15" xr3:uid="{6F76946A-6B7C-472E-A5A7-52D3DF6167A6}" name="合格POS_x000a_qualified POS in This Month_x000a_with rollover" dataDxfId="6"/>
    <tableColumn id="16" xr3:uid="{71387750-3BCB-47D1-BA83-74AD3964FC92}" name="合格率_x000a_qualification rate" dataDxfId="5"/>
    <tableColumn id="17" xr3:uid="{3E39802B-FFD2-4441-984D-AB29BB9134FB}" name="奖金 Bouns" dataDxfId="4"/>
    <tableColumn id="18" xr3:uid="{71899191-411A-4C45-914E-E229BB831128}" name="Qualified aggr this month" dataDxfId="3"/>
    <tableColumn id="19" xr3:uid="{2DB28C37-668E-4321-935D-747617275858}" name="qualified aggr last Month" dataDxfId="2"/>
    <tableColumn id="20" xr3:uid="{396B0939-B977-4943-8965-E7E90281188E}" name="本月净增_x000a_Increase" dataDxfId="1"/>
    <tableColumn id="21" xr3:uid="{3EDCB3DD-FD04-49AC-BC7A-B2E859FFCD49}" name="Rank" dataDxfId="0">
      <calculatedColumnFormula>_xlfn.RANK.EQ(R2,$R$2:$R$309,0)
 + COUNTIFS($R$2:$R$309,R2,$B$2:$B$309,"&lt;"&amp;B2)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8DD8C-C4D3-4990-9CBA-2DF5ED2A1637}">
  <dimension ref="A1:U309"/>
  <sheetViews>
    <sheetView workbookViewId="0">
      <selection activeCell="D273" sqref="D273:D279"/>
    </sheetView>
  </sheetViews>
  <sheetFormatPr defaultRowHeight="15" x14ac:dyDescent="0.25"/>
  <cols>
    <col min="1" max="1" width="11" bestFit="1" customWidth="1"/>
    <col min="2" max="2" width="37.5703125" bestFit="1" customWidth="1"/>
    <col min="3" max="3" width="9.42578125" customWidth="1"/>
    <col min="4" max="4" width="12.7109375" bestFit="1" customWidth="1"/>
    <col min="5" max="5" width="11.140625" bestFit="1" customWidth="1"/>
    <col min="6" max="6" width="11" bestFit="1" customWidth="1"/>
    <col min="7" max="7" width="31.7109375" bestFit="1" customWidth="1"/>
    <col min="8" max="8" width="10.42578125" customWidth="1"/>
    <col min="9" max="9" width="27" bestFit="1" customWidth="1"/>
    <col min="10" max="10" width="12.140625" customWidth="1"/>
    <col min="11" max="11" width="10.85546875" bestFit="1" customWidth="1"/>
    <col min="12" max="12" width="21.5703125" bestFit="1" customWidth="1"/>
    <col min="13" max="13" width="40.85546875" bestFit="1" customWidth="1"/>
    <col min="14" max="14" width="45.28515625" bestFit="1" customWidth="1"/>
    <col min="15" max="15" width="41.5703125" bestFit="1" customWidth="1"/>
    <col min="16" max="16" width="20.5703125" bestFit="1" customWidth="1"/>
    <col min="17" max="17" width="12.28515625" customWidth="1"/>
    <col min="18" max="18" width="22.140625" customWidth="1"/>
    <col min="19" max="19" width="21.85546875" customWidth="1"/>
    <col min="20" max="20" width="15.85546875" bestFit="1" customWidth="1"/>
  </cols>
  <sheetData>
    <row r="1" spans="1:21" x14ac:dyDescent="0.25">
      <c r="A1" s="20" t="s">
        <v>0</v>
      </c>
      <c r="B1" s="1" t="s">
        <v>1</v>
      </c>
      <c r="C1" s="1" t="s">
        <v>2</v>
      </c>
      <c r="D1" s="1" t="s">
        <v>3</v>
      </c>
      <c r="E1" s="1" t="s">
        <v>4</v>
      </c>
      <c r="F1" s="1" t="s">
        <v>5</v>
      </c>
      <c r="G1" s="1" t="s">
        <v>6</v>
      </c>
      <c r="H1" s="1" t="s">
        <v>7</v>
      </c>
      <c r="I1" s="1" t="s">
        <v>8</v>
      </c>
      <c r="J1" s="2" t="s">
        <v>9</v>
      </c>
      <c r="K1" s="3" t="s">
        <v>10</v>
      </c>
      <c r="L1" s="4" t="s">
        <v>11</v>
      </c>
      <c r="M1" s="5" t="s">
        <v>12</v>
      </c>
      <c r="N1" s="5" t="s">
        <v>13</v>
      </c>
      <c r="O1" s="5" t="s">
        <v>14</v>
      </c>
      <c r="P1" s="6" t="s">
        <v>15</v>
      </c>
      <c r="Q1" s="6" t="s">
        <v>16</v>
      </c>
      <c r="R1" s="5" t="s">
        <v>17</v>
      </c>
      <c r="S1" s="5" t="s">
        <v>18</v>
      </c>
      <c r="T1" s="5" t="s">
        <v>19</v>
      </c>
      <c r="U1" s="19" t="s">
        <v>419</v>
      </c>
    </row>
    <row r="2" spans="1:21" x14ac:dyDescent="0.25">
      <c r="A2" s="21">
        <v>110007</v>
      </c>
      <c r="B2" s="7" t="s">
        <v>20</v>
      </c>
      <c r="C2" s="8" t="s">
        <v>21</v>
      </c>
      <c r="D2" s="7" t="s">
        <v>22</v>
      </c>
      <c r="E2" s="7" t="s">
        <v>23</v>
      </c>
      <c r="F2" s="7">
        <v>110001</v>
      </c>
      <c r="G2" s="7" t="s">
        <v>24</v>
      </c>
      <c r="H2" s="7">
        <v>400000122</v>
      </c>
      <c r="I2" s="7" t="s">
        <v>25</v>
      </c>
      <c r="J2" s="9">
        <v>220400</v>
      </c>
      <c r="K2" s="10">
        <v>44</v>
      </c>
      <c r="L2" s="11" t="s">
        <v>26</v>
      </c>
      <c r="M2" s="8">
        <v>75</v>
      </c>
      <c r="N2" s="8">
        <v>48</v>
      </c>
      <c r="O2" s="8">
        <v>123</v>
      </c>
      <c r="P2" s="12">
        <v>0.51</v>
      </c>
      <c r="Q2" s="13">
        <v>98400</v>
      </c>
      <c r="R2" s="10">
        <v>12</v>
      </c>
      <c r="S2" s="10">
        <v>4</v>
      </c>
      <c r="T2" s="10">
        <v>8</v>
      </c>
      <c r="U2">
        <f t="shared" ref="U2:U65" si="0">_xlfn.RANK.EQ(R2,$R$2:$R$309,0)
 + COUNTIFS($R$2:$R$309,R2,$B$2:$B$309,"&lt;"&amp;B2)</f>
        <v>86</v>
      </c>
    </row>
    <row r="3" spans="1:21" x14ac:dyDescent="0.25">
      <c r="A3" s="21">
        <v>110009</v>
      </c>
      <c r="B3" s="7" t="s">
        <v>27</v>
      </c>
      <c r="C3" s="8" t="s">
        <v>21</v>
      </c>
      <c r="D3" s="7" t="s">
        <v>22</v>
      </c>
      <c r="E3" s="7" t="s">
        <v>23</v>
      </c>
      <c r="F3" s="7">
        <v>110001</v>
      </c>
      <c r="G3" s="7" t="s">
        <v>24</v>
      </c>
      <c r="H3" s="7">
        <v>400000122</v>
      </c>
      <c r="I3" s="7" t="s">
        <v>25</v>
      </c>
      <c r="J3" s="9">
        <v>256000</v>
      </c>
      <c r="K3" s="10">
        <v>33</v>
      </c>
      <c r="L3" s="11" t="s">
        <v>26</v>
      </c>
      <c r="M3" s="8">
        <v>92</v>
      </c>
      <c r="N3" s="8">
        <v>29</v>
      </c>
      <c r="O3" s="8">
        <v>121</v>
      </c>
      <c r="P3" s="12">
        <v>0.61</v>
      </c>
      <c r="Q3" s="13">
        <v>121000</v>
      </c>
      <c r="R3" s="10">
        <v>17</v>
      </c>
      <c r="S3" s="10">
        <v>8</v>
      </c>
      <c r="T3" s="10">
        <v>9</v>
      </c>
      <c r="U3">
        <f t="shared" si="0"/>
        <v>28</v>
      </c>
    </row>
    <row r="4" spans="1:21" x14ac:dyDescent="0.25">
      <c r="A4" s="21">
        <v>120011</v>
      </c>
      <c r="B4" s="7" t="s">
        <v>28</v>
      </c>
      <c r="C4" s="8" t="s">
        <v>21</v>
      </c>
      <c r="D4" s="7" t="s">
        <v>29</v>
      </c>
      <c r="E4" s="7" t="s">
        <v>30</v>
      </c>
      <c r="F4" s="7">
        <v>92200201</v>
      </c>
      <c r="G4" s="7" t="s">
        <v>31</v>
      </c>
      <c r="H4" s="7">
        <v>300310001</v>
      </c>
      <c r="I4" s="7" t="s">
        <v>32</v>
      </c>
      <c r="J4" s="9">
        <v>46400</v>
      </c>
      <c r="K4" s="10">
        <v>230</v>
      </c>
      <c r="L4" s="11" t="s">
        <v>33</v>
      </c>
      <c r="M4" s="8">
        <v>30</v>
      </c>
      <c r="N4" s="8">
        <v>7</v>
      </c>
      <c r="O4" s="8">
        <v>37</v>
      </c>
      <c r="P4" s="12">
        <v>0.72</v>
      </c>
      <c r="Q4" s="13">
        <v>44400</v>
      </c>
      <c r="R4" s="10">
        <v>2</v>
      </c>
      <c r="S4" s="10">
        <v>11</v>
      </c>
      <c r="T4" s="10">
        <v>0</v>
      </c>
      <c r="U4">
        <f t="shared" si="0"/>
        <v>254</v>
      </c>
    </row>
    <row r="5" spans="1:21" x14ac:dyDescent="0.25">
      <c r="A5" s="21">
        <v>120016</v>
      </c>
      <c r="B5" s="7" t="s">
        <v>34</v>
      </c>
      <c r="C5" s="8" t="s">
        <v>21</v>
      </c>
      <c r="D5" s="7" t="s">
        <v>29</v>
      </c>
      <c r="E5" s="7" t="s">
        <v>35</v>
      </c>
      <c r="F5" s="7">
        <v>302320002</v>
      </c>
      <c r="G5" s="7" t="s">
        <v>36</v>
      </c>
      <c r="H5" s="7">
        <v>300310001</v>
      </c>
      <c r="I5" s="7" t="s">
        <v>32</v>
      </c>
      <c r="J5" s="9">
        <v>203000</v>
      </c>
      <c r="K5" s="10">
        <v>57</v>
      </c>
      <c r="L5" s="11" t="s">
        <v>26</v>
      </c>
      <c r="M5" s="8">
        <v>68</v>
      </c>
      <c r="N5" s="8">
        <v>28</v>
      </c>
      <c r="O5" s="8">
        <v>96</v>
      </c>
      <c r="P5" s="12">
        <v>0.62</v>
      </c>
      <c r="Q5" s="13">
        <v>96000</v>
      </c>
      <c r="R5" s="10">
        <v>13</v>
      </c>
      <c r="S5" s="10">
        <v>10</v>
      </c>
      <c r="T5" s="10">
        <v>3</v>
      </c>
      <c r="U5">
        <f t="shared" si="0"/>
        <v>64</v>
      </c>
    </row>
    <row r="6" spans="1:21" x14ac:dyDescent="0.25">
      <c r="A6" s="21">
        <v>120023</v>
      </c>
      <c r="B6" s="7" t="s">
        <v>37</v>
      </c>
      <c r="C6" s="8" t="s">
        <v>21</v>
      </c>
      <c r="D6" s="7" t="s">
        <v>29</v>
      </c>
      <c r="E6" s="7" t="s">
        <v>30</v>
      </c>
      <c r="F6" s="7">
        <v>92200201</v>
      </c>
      <c r="G6" s="7" t="s">
        <v>31</v>
      </c>
      <c r="H6" s="7">
        <v>300310001</v>
      </c>
      <c r="I6" s="7" t="s">
        <v>32</v>
      </c>
      <c r="J6" s="9">
        <v>229600</v>
      </c>
      <c r="K6" s="10">
        <v>40</v>
      </c>
      <c r="L6" s="11" t="s">
        <v>26</v>
      </c>
      <c r="M6" s="8">
        <v>75</v>
      </c>
      <c r="N6" s="8">
        <v>22</v>
      </c>
      <c r="O6" s="8">
        <v>97</v>
      </c>
      <c r="P6" s="12">
        <v>0.54</v>
      </c>
      <c r="Q6" s="13">
        <v>77600</v>
      </c>
      <c r="R6" s="10">
        <v>14</v>
      </c>
      <c r="S6" s="10">
        <v>8</v>
      </c>
      <c r="T6" s="10">
        <v>6</v>
      </c>
      <c r="U6">
        <f t="shared" si="0"/>
        <v>55</v>
      </c>
    </row>
    <row r="7" spans="1:21" x14ac:dyDescent="0.25">
      <c r="A7" s="21">
        <v>120029</v>
      </c>
      <c r="B7" s="7" t="s">
        <v>38</v>
      </c>
      <c r="C7" s="8" t="s">
        <v>21</v>
      </c>
      <c r="D7" s="7" t="s">
        <v>29</v>
      </c>
      <c r="E7" s="7" t="s">
        <v>35</v>
      </c>
      <c r="F7" s="7">
        <v>93200201</v>
      </c>
      <c r="G7" s="7" t="s">
        <v>39</v>
      </c>
      <c r="H7" s="7">
        <v>300310001</v>
      </c>
      <c r="I7" s="7" t="s">
        <v>32</v>
      </c>
      <c r="J7" s="9">
        <v>176000</v>
      </c>
      <c r="K7" s="10">
        <v>74</v>
      </c>
      <c r="L7" s="11" t="s">
        <v>26</v>
      </c>
      <c r="M7" s="8">
        <v>40</v>
      </c>
      <c r="N7" s="8">
        <v>29</v>
      </c>
      <c r="O7" s="8">
        <v>69</v>
      </c>
      <c r="P7" s="12">
        <v>0.68</v>
      </c>
      <c r="Q7" s="13">
        <v>69000</v>
      </c>
      <c r="R7" s="10">
        <v>10</v>
      </c>
      <c r="S7" s="10">
        <v>7</v>
      </c>
      <c r="T7" s="10">
        <v>3</v>
      </c>
      <c r="U7">
        <f t="shared" si="0"/>
        <v>122</v>
      </c>
    </row>
    <row r="8" spans="1:21" x14ac:dyDescent="0.25">
      <c r="A8" s="21">
        <v>120050</v>
      </c>
      <c r="B8" s="7" t="s">
        <v>40</v>
      </c>
      <c r="C8" s="8" t="s">
        <v>21</v>
      </c>
      <c r="D8" s="7" t="s">
        <v>29</v>
      </c>
      <c r="E8" s="7" t="s">
        <v>41</v>
      </c>
      <c r="F8" s="7">
        <v>93000101</v>
      </c>
      <c r="G8" s="7" t="s">
        <v>42</v>
      </c>
      <c r="H8" s="7">
        <v>300310001</v>
      </c>
      <c r="I8" s="7" t="s">
        <v>32</v>
      </c>
      <c r="J8" s="9">
        <v>125000</v>
      </c>
      <c r="K8" s="10">
        <v>133</v>
      </c>
      <c r="L8" s="11" t="s">
        <v>26</v>
      </c>
      <c r="M8" s="8">
        <v>45</v>
      </c>
      <c r="N8" s="8">
        <v>35</v>
      </c>
      <c r="O8" s="8">
        <v>80</v>
      </c>
      <c r="P8" s="12">
        <v>0.66</v>
      </c>
      <c r="Q8" s="13">
        <v>80000</v>
      </c>
      <c r="R8" s="10">
        <v>10</v>
      </c>
      <c r="S8" s="10">
        <v>7</v>
      </c>
      <c r="T8" s="10">
        <v>3</v>
      </c>
      <c r="U8">
        <f t="shared" si="0"/>
        <v>116</v>
      </c>
    </row>
    <row r="9" spans="1:21" x14ac:dyDescent="0.25">
      <c r="A9" s="21">
        <v>120052</v>
      </c>
      <c r="B9" s="7" t="s">
        <v>43</v>
      </c>
      <c r="C9" s="8" t="s">
        <v>21</v>
      </c>
      <c r="D9" s="7" t="s">
        <v>29</v>
      </c>
      <c r="E9" s="7" t="s">
        <v>35</v>
      </c>
      <c r="F9" s="7">
        <v>93200201</v>
      </c>
      <c r="G9" s="7" t="s">
        <v>39</v>
      </c>
      <c r="H9" s="7">
        <v>300310001</v>
      </c>
      <c r="I9" s="7" t="s">
        <v>32</v>
      </c>
      <c r="J9" s="9">
        <v>62000</v>
      </c>
      <c r="K9" s="10">
        <v>215</v>
      </c>
      <c r="L9" s="11" t="s">
        <v>33</v>
      </c>
      <c r="M9" s="8">
        <v>47</v>
      </c>
      <c r="N9" s="8">
        <v>21</v>
      </c>
      <c r="O9" s="8">
        <v>68</v>
      </c>
      <c r="P9" s="12">
        <v>0.32</v>
      </c>
      <c r="Q9" s="13">
        <v>0</v>
      </c>
      <c r="R9" s="10">
        <v>6</v>
      </c>
      <c r="S9" s="10">
        <v>2</v>
      </c>
      <c r="T9" s="10">
        <v>4</v>
      </c>
      <c r="U9">
        <f t="shared" si="0"/>
        <v>198</v>
      </c>
    </row>
    <row r="10" spans="1:21" x14ac:dyDescent="0.25">
      <c r="A10" s="21">
        <v>150002</v>
      </c>
      <c r="B10" s="7" t="s">
        <v>44</v>
      </c>
      <c r="C10" s="8" t="s">
        <v>21</v>
      </c>
      <c r="D10" s="7" t="s">
        <v>45</v>
      </c>
      <c r="E10" s="7" t="s">
        <v>46</v>
      </c>
      <c r="F10" s="7">
        <v>210023</v>
      </c>
      <c r="G10" s="7" t="s">
        <v>47</v>
      </c>
      <c r="H10" s="7">
        <v>210001</v>
      </c>
      <c r="I10" s="7" t="s">
        <v>48</v>
      </c>
      <c r="J10" s="9">
        <v>75200</v>
      </c>
      <c r="K10" s="10">
        <v>200</v>
      </c>
      <c r="L10" s="11" t="s">
        <v>33</v>
      </c>
      <c r="M10" s="8">
        <v>20</v>
      </c>
      <c r="N10" s="8">
        <v>27</v>
      </c>
      <c r="O10" s="8">
        <v>47</v>
      </c>
      <c r="P10" s="12">
        <v>0.42</v>
      </c>
      <c r="Q10" s="13">
        <v>28200</v>
      </c>
      <c r="R10" s="10">
        <v>5</v>
      </c>
      <c r="S10" s="10">
        <v>2</v>
      </c>
      <c r="T10" s="10">
        <v>3</v>
      </c>
      <c r="U10">
        <f t="shared" si="0"/>
        <v>218</v>
      </c>
    </row>
    <row r="11" spans="1:21" x14ac:dyDescent="0.25">
      <c r="A11" s="21">
        <v>180003</v>
      </c>
      <c r="B11" s="7" t="s">
        <v>49</v>
      </c>
      <c r="C11" s="8" t="s">
        <v>21</v>
      </c>
      <c r="D11" s="7" t="s">
        <v>50</v>
      </c>
      <c r="E11" s="7" t="s">
        <v>51</v>
      </c>
      <c r="F11" s="7">
        <v>91000115</v>
      </c>
      <c r="G11" s="7" t="s">
        <v>52</v>
      </c>
      <c r="H11" s="7">
        <v>410000010</v>
      </c>
      <c r="I11" s="7" t="s">
        <v>53</v>
      </c>
      <c r="J11" s="9">
        <v>152600</v>
      </c>
      <c r="K11" s="10">
        <v>94</v>
      </c>
      <c r="L11" s="11" t="s">
        <v>26</v>
      </c>
      <c r="M11" s="8">
        <v>93</v>
      </c>
      <c r="N11" s="8">
        <v>5</v>
      </c>
      <c r="O11" s="8">
        <v>98</v>
      </c>
      <c r="P11" s="12">
        <v>0.94</v>
      </c>
      <c r="Q11" s="13">
        <v>117600</v>
      </c>
      <c r="R11" s="10">
        <v>17</v>
      </c>
      <c r="S11" s="10">
        <v>16</v>
      </c>
      <c r="T11" s="10">
        <v>1</v>
      </c>
      <c r="U11">
        <f t="shared" si="0"/>
        <v>30</v>
      </c>
    </row>
    <row r="12" spans="1:21" x14ac:dyDescent="0.25">
      <c r="A12" s="21">
        <v>180004</v>
      </c>
      <c r="B12" s="7" t="s">
        <v>54</v>
      </c>
      <c r="C12" s="8" t="s">
        <v>21</v>
      </c>
      <c r="D12" s="7" t="s">
        <v>50</v>
      </c>
      <c r="E12" s="7" t="s">
        <v>51</v>
      </c>
      <c r="F12" s="7">
        <v>91000115</v>
      </c>
      <c r="G12" s="7" t="s">
        <v>52</v>
      </c>
      <c r="H12" s="7">
        <v>410000010</v>
      </c>
      <c r="I12" s="7" t="s">
        <v>53</v>
      </c>
      <c r="J12" s="9">
        <v>378400</v>
      </c>
      <c r="K12" s="10">
        <v>11</v>
      </c>
      <c r="L12" s="11" t="s">
        <v>26</v>
      </c>
      <c r="M12" s="8">
        <v>70</v>
      </c>
      <c r="N12" s="8">
        <v>12</v>
      </c>
      <c r="O12" s="8">
        <v>82</v>
      </c>
      <c r="P12" s="12">
        <v>0.86</v>
      </c>
      <c r="Q12" s="13">
        <v>98400</v>
      </c>
      <c r="R12" s="10">
        <v>14</v>
      </c>
      <c r="S12" s="10">
        <v>6</v>
      </c>
      <c r="T12" s="10">
        <v>8</v>
      </c>
      <c r="U12">
        <f t="shared" si="0"/>
        <v>61</v>
      </c>
    </row>
    <row r="13" spans="1:21" x14ac:dyDescent="0.25">
      <c r="A13" s="21">
        <v>180011</v>
      </c>
      <c r="B13" s="7" t="s">
        <v>55</v>
      </c>
      <c r="C13" s="8" t="s">
        <v>21</v>
      </c>
      <c r="D13" s="7" t="s">
        <v>50</v>
      </c>
      <c r="E13" s="7" t="s">
        <v>56</v>
      </c>
      <c r="F13" s="7">
        <v>350032</v>
      </c>
      <c r="G13" s="7" t="s">
        <v>57</v>
      </c>
      <c r="H13" s="7">
        <v>410000010</v>
      </c>
      <c r="I13" s="7" t="s">
        <v>53</v>
      </c>
      <c r="J13" s="9">
        <v>114000</v>
      </c>
      <c r="K13" s="10">
        <v>147</v>
      </c>
      <c r="L13" s="11" t="s">
        <v>26</v>
      </c>
      <c r="M13" s="8">
        <v>38</v>
      </c>
      <c r="N13" s="8">
        <v>14</v>
      </c>
      <c r="O13" s="8">
        <v>52</v>
      </c>
      <c r="P13" s="12">
        <v>0.65</v>
      </c>
      <c r="Q13" s="13">
        <v>52000</v>
      </c>
      <c r="R13" s="10">
        <v>6</v>
      </c>
      <c r="S13" s="10">
        <v>2</v>
      </c>
      <c r="T13" s="10">
        <v>4</v>
      </c>
      <c r="U13">
        <f t="shared" si="0"/>
        <v>195</v>
      </c>
    </row>
    <row r="14" spans="1:21" x14ac:dyDescent="0.25">
      <c r="A14" s="21">
        <v>180012</v>
      </c>
      <c r="B14" s="7" t="s">
        <v>58</v>
      </c>
      <c r="C14" s="8" t="s">
        <v>21</v>
      </c>
      <c r="D14" s="7" t="s">
        <v>50</v>
      </c>
      <c r="E14" s="7" t="s">
        <v>51</v>
      </c>
      <c r="F14" s="7">
        <v>350032</v>
      </c>
      <c r="G14" s="7" t="s">
        <v>57</v>
      </c>
      <c r="H14" s="7">
        <v>410000010</v>
      </c>
      <c r="I14" s="7" t="s">
        <v>53</v>
      </c>
      <c r="J14" s="9">
        <v>147000</v>
      </c>
      <c r="K14" s="10">
        <v>99</v>
      </c>
      <c r="L14" s="11" t="s">
        <v>26</v>
      </c>
      <c r="M14" s="8">
        <v>37</v>
      </c>
      <c r="N14" s="8">
        <v>33</v>
      </c>
      <c r="O14" s="8">
        <v>70</v>
      </c>
      <c r="P14" s="12">
        <v>0.61</v>
      </c>
      <c r="Q14" s="13">
        <v>70000</v>
      </c>
      <c r="R14" s="10">
        <v>9</v>
      </c>
      <c r="S14" s="10">
        <v>4</v>
      </c>
      <c r="T14" s="10">
        <v>5</v>
      </c>
      <c r="U14">
        <f t="shared" si="0"/>
        <v>135</v>
      </c>
    </row>
    <row r="15" spans="1:21" x14ac:dyDescent="0.25">
      <c r="A15" s="21">
        <v>180013</v>
      </c>
      <c r="B15" s="7" t="s">
        <v>59</v>
      </c>
      <c r="C15" s="8" t="s">
        <v>21</v>
      </c>
      <c r="D15" s="7" t="s">
        <v>50</v>
      </c>
      <c r="E15" s="7" t="s">
        <v>51</v>
      </c>
      <c r="F15" s="7">
        <v>350032</v>
      </c>
      <c r="G15" s="7" t="s">
        <v>57</v>
      </c>
      <c r="H15" s="7">
        <v>410000010</v>
      </c>
      <c r="I15" s="7" t="s">
        <v>53</v>
      </c>
      <c r="J15" s="9">
        <v>108400</v>
      </c>
      <c r="K15" s="10">
        <v>163</v>
      </c>
      <c r="L15" s="11" t="s">
        <v>26</v>
      </c>
      <c r="M15" s="8">
        <v>26</v>
      </c>
      <c r="N15" s="8">
        <v>23</v>
      </c>
      <c r="O15" s="8">
        <v>49</v>
      </c>
      <c r="P15" s="12">
        <v>0.47</v>
      </c>
      <c r="Q15" s="13">
        <v>29400</v>
      </c>
      <c r="R15" s="10">
        <v>5</v>
      </c>
      <c r="S15" s="10">
        <v>0</v>
      </c>
      <c r="T15" s="10">
        <v>5</v>
      </c>
      <c r="U15">
        <f t="shared" si="0"/>
        <v>206</v>
      </c>
    </row>
    <row r="16" spans="1:21" x14ac:dyDescent="0.25">
      <c r="A16" s="21">
        <v>180014</v>
      </c>
      <c r="B16" s="7" t="s">
        <v>60</v>
      </c>
      <c r="C16" s="8" t="s">
        <v>21</v>
      </c>
      <c r="D16" s="7" t="s">
        <v>50</v>
      </c>
      <c r="E16" s="7" t="s">
        <v>51</v>
      </c>
      <c r="F16" s="7">
        <v>350032</v>
      </c>
      <c r="G16" s="7" t="s">
        <v>57</v>
      </c>
      <c r="H16" s="7">
        <v>410000010</v>
      </c>
      <c r="I16" s="7" t="s">
        <v>53</v>
      </c>
      <c r="J16" s="9">
        <v>226600</v>
      </c>
      <c r="K16" s="10">
        <v>42</v>
      </c>
      <c r="L16" s="11" t="s">
        <v>26</v>
      </c>
      <c r="M16" s="8">
        <v>81</v>
      </c>
      <c r="N16" s="8">
        <v>40</v>
      </c>
      <c r="O16" s="8">
        <v>121</v>
      </c>
      <c r="P16" s="12">
        <v>0.42</v>
      </c>
      <c r="Q16" s="13">
        <v>72600</v>
      </c>
      <c r="R16" s="10">
        <v>15</v>
      </c>
      <c r="S16" s="10">
        <v>5</v>
      </c>
      <c r="T16" s="10">
        <v>10</v>
      </c>
      <c r="U16">
        <f t="shared" si="0"/>
        <v>46</v>
      </c>
    </row>
    <row r="17" spans="1:21" x14ac:dyDescent="0.25">
      <c r="A17" s="21">
        <v>180017</v>
      </c>
      <c r="B17" s="7" t="s">
        <v>61</v>
      </c>
      <c r="C17" s="8" t="s">
        <v>21</v>
      </c>
      <c r="D17" s="7" t="s">
        <v>50</v>
      </c>
      <c r="E17" s="7" t="s">
        <v>51</v>
      </c>
      <c r="F17" s="7">
        <v>350032</v>
      </c>
      <c r="G17" s="7" t="s">
        <v>57</v>
      </c>
      <c r="H17" s="7">
        <v>410000010</v>
      </c>
      <c r="I17" s="7" t="s">
        <v>53</v>
      </c>
      <c r="J17" s="9">
        <v>257600</v>
      </c>
      <c r="K17" s="10">
        <v>32</v>
      </c>
      <c r="L17" s="11" t="s">
        <v>26</v>
      </c>
      <c r="M17" s="8">
        <v>60</v>
      </c>
      <c r="N17" s="8">
        <v>62</v>
      </c>
      <c r="O17" s="8">
        <v>122</v>
      </c>
      <c r="P17" s="12">
        <v>0.5</v>
      </c>
      <c r="Q17" s="13">
        <v>97600</v>
      </c>
      <c r="R17" s="10">
        <v>14</v>
      </c>
      <c r="S17" s="10">
        <v>4</v>
      </c>
      <c r="T17" s="10">
        <v>10</v>
      </c>
      <c r="U17">
        <f t="shared" si="0"/>
        <v>54</v>
      </c>
    </row>
    <row r="18" spans="1:21" x14ac:dyDescent="0.25">
      <c r="A18" s="21">
        <v>180018</v>
      </c>
      <c r="B18" s="7" t="s">
        <v>62</v>
      </c>
      <c r="C18" s="8" t="s">
        <v>21</v>
      </c>
      <c r="D18" s="7" t="s">
        <v>50</v>
      </c>
      <c r="E18" s="7" t="s">
        <v>63</v>
      </c>
      <c r="F18" s="7">
        <v>350003</v>
      </c>
      <c r="G18" s="7" t="s">
        <v>64</v>
      </c>
      <c r="H18" s="7">
        <v>410000010</v>
      </c>
      <c r="I18" s="7" t="s">
        <v>53</v>
      </c>
      <c r="J18" s="9">
        <v>96000</v>
      </c>
      <c r="K18" s="10">
        <v>175</v>
      </c>
      <c r="L18" s="11" t="s">
        <v>33</v>
      </c>
      <c r="M18" s="8">
        <v>71</v>
      </c>
      <c r="N18" s="8">
        <v>23</v>
      </c>
      <c r="O18" s="8">
        <v>94</v>
      </c>
      <c r="P18" s="12">
        <v>0.64</v>
      </c>
      <c r="Q18" s="13">
        <v>94000</v>
      </c>
      <c r="R18" s="10">
        <v>10</v>
      </c>
      <c r="S18" s="10">
        <v>10</v>
      </c>
      <c r="T18" s="10">
        <v>0</v>
      </c>
      <c r="U18">
        <f t="shared" si="0"/>
        <v>125</v>
      </c>
    </row>
    <row r="19" spans="1:21" x14ac:dyDescent="0.25">
      <c r="A19" s="21">
        <v>180026</v>
      </c>
      <c r="B19" s="7" t="s">
        <v>65</v>
      </c>
      <c r="C19" s="8" t="s">
        <v>21</v>
      </c>
      <c r="D19" s="7" t="s">
        <v>50</v>
      </c>
      <c r="E19" s="7" t="s">
        <v>51</v>
      </c>
      <c r="F19" s="7">
        <v>350032</v>
      </c>
      <c r="G19" s="7" t="s">
        <v>57</v>
      </c>
      <c r="H19" s="7">
        <v>410000010</v>
      </c>
      <c r="I19" s="7" t="s">
        <v>53</v>
      </c>
      <c r="J19" s="9">
        <v>135400</v>
      </c>
      <c r="K19" s="10">
        <v>119</v>
      </c>
      <c r="L19" s="11" t="s">
        <v>26</v>
      </c>
      <c r="M19" s="8">
        <v>50</v>
      </c>
      <c r="N19" s="8">
        <v>23</v>
      </c>
      <c r="O19" s="8">
        <v>73</v>
      </c>
      <c r="P19" s="12">
        <v>0.53</v>
      </c>
      <c r="Q19" s="13">
        <v>58400</v>
      </c>
      <c r="R19" s="10">
        <v>8</v>
      </c>
      <c r="S19" s="10">
        <v>3</v>
      </c>
      <c r="T19" s="10">
        <v>5</v>
      </c>
      <c r="U19">
        <f t="shared" si="0"/>
        <v>156</v>
      </c>
    </row>
    <row r="20" spans="1:21" x14ac:dyDescent="0.25">
      <c r="A20" s="21">
        <v>180030</v>
      </c>
      <c r="B20" s="7" t="s">
        <v>66</v>
      </c>
      <c r="C20" s="8" t="s">
        <v>21</v>
      </c>
      <c r="D20" s="7" t="s">
        <v>50</v>
      </c>
      <c r="E20" s="7" t="s">
        <v>51</v>
      </c>
      <c r="F20" s="7">
        <v>91000115</v>
      </c>
      <c r="G20" s="7" t="s">
        <v>52</v>
      </c>
      <c r="H20" s="7">
        <v>410000010</v>
      </c>
      <c r="I20" s="7" t="s">
        <v>53</v>
      </c>
      <c r="J20" s="9">
        <v>507600</v>
      </c>
      <c r="K20" s="10">
        <v>4</v>
      </c>
      <c r="L20" s="11" t="s">
        <v>26</v>
      </c>
      <c r="M20" s="8">
        <v>172</v>
      </c>
      <c r="N20" s="8">
        <v>16</v>
      </c>
      <c r="O20" s="8">
        <v>188</v>
      </c>
      <c r="P20" s="12">
        <v>0.77</v>
      </c>
      <c r="Q20" s="13">
        <v>225600</v>
      </c>
      <c r="R20" s="10">
        <v>28</v>
      </c>
      <c r="S20" s="10">
        <v>20</v>
      </c>
      <c r="T20" s="10">
        <v>8</v>
      </c>
      <c r="U20">
        <f t="shared" si="0"/>
        <v>4</v>
      </c>
    </row>
    <row r="21" spans="1:21" x14ac:dyDescent="0.25">
      <c r="A21" s="21">
        <v>180035</v>
      </c>
      <c r="B21" s="7" t="s">
        <v>67</v>
      </c>
      <c r="C21" s="8" t="s">
        <v>21</v>
      </c>
      <c r="D21" s="7" t="s">
        <v>50</v>
      </c>
      <c r="E21" s="7" t="s">
        <v>63</v>
      </c>
      <c r="F21" s="7">
        <v>350003</v>
      </c>
      <c r="G21" s="7" t="s">
        <v>64</v>
      </c>
      <c r="H21" s="7">
        <v>410000010</v>
      </c>
      <c r="I21" s="7" t="s">
        <v>53</v>
      </c>
      <c r="J21" s="9">
        <v>229800</v>
      </c>
      <c r="K21" s="10">
        <v>39</v>
      </c>
      <c r="L21" s="11" t="s">
        <v>26</v>
      </c>
      <c r="M21" s="8">
        <v>116</v>
      </c>
      <c r="N21" s="8">
        <v>35</v>
      </c>
      <c r="O21" s="8">
        <v>151</v>
      </c>
      <c r="P21" s="12">
        <v>0.55000000000000004</v>
      </c>
      <c r="Q21" s="13">
        <v>120800</v>
      </c>
      <c r="R21" s="10">
        <v>13</v>
      </c>
      <c r="S21" s="10">
        <v>10</v>
      </c>
      <c r="T21" s="10">
        <v>3</v>
      </c>
      <c r="U21">
        <f t="shared" si="0"/>
        <v>69</v>
      </c>
    </row>
    <row r="22" spans="1:21" x14ac:dyDescent="0.25">
      <c r="A22" s="21">
        <v>180041</v>
      </c>
      <c r="B22" s="7" t="s">
        <v>68</v>
      </c>
      <c r="C22" s="8" t="s">
        <v>21</v>
      </c>
      <c r="D22" s="7" t="s">
        <v>50</v>
      </c>
      <c r="E22" s="7" t="s">
        <v>63</v>
      </c>
      <c r="F22" s="7">
        <v>350003</v>
      </c>
      <c r="G22" s="7" t="s">
        <v>64</v>
      </c>
      <c r="H22" s="7">
        <v>410000010</v>
      </c>
      <c r="I22" s="7" t="s">
        <v>53</v>
      </c>
      <c r="J22" s="9">
        <v>471400</v>
      </c>
      <c r="K22" s="10">
        <v>5</v>
      </c>
      <c r="L22" s="11" t="s">
        <v>26</v>
      </c>
      <c r="M22" s="8">
        <v>152</v>
      </c>
      <c r="N22" s="8">
        <v>35</v>
      </c>
      <c r="O22" s="8">
        <v>187</v>
      </c>
      <c r="P22" s="12">
        <v>0.74</v>
      </c>
      <c r="Q22" s="13">
        <v>224400</v>
      </c>
      <c r="R22" s="10">
        <v>27</v>
      </c>
      <c r="S22" s="10">
        <v>20</v>
      </c>
      <c r="T22" s="10">
        <v>7</v>
      </c>
      <c r="U22">
        <f t="shared" si="0"/>
        <v>5</v>
      </c>
    </row>
    <row r="23" spans="1:21" x14ac:dyDescent="0.25">
      <c r="A23" s="21">
        <v>200004</v>
      </c>
      <c r="B23" s="7" t="s">
        <v>69</v>
      </c>
      <c r="C23" s="8" t="s">
        <v>21</v>
      </c>
      <c r="D23" s="7" t="s">
        <v>22</v>
      </c>
      <c r="E23" s="7" t="s">
        <v>70</v>
      </c>
      <c r="F23" s="7">
        <v>200000</v>
      </c>
      <c r="G23" s="7" t="s">
        <v>71</v>
      </c>
      <c r="H23" s="7">
        <v>400000122</v>
      </c>
      <c r="I23" s="7" t="s">
        <v>25</v>
      </c>
      <c r="J23" s="9">
        <v>245800</v>
      </c>
      <c r="K23" s="10">
        <v>36</v>
      </c>
      <c r="L23" s="11" t="s">
        <v>26</v>
      </c>
      <c r="M23" s="8">
        <v>91</v>
      </c>
      <c r="N23" s="8">
        <v>23</v>
      </c>
      <c r="O23" s="8">
        <v>114</v>
      </c>
      <c r="P23" s="12">
        <v>0.8</v>
      </c>
      <c r="Q23" s="13">
        <v>136800</v>
      </c>
      <c r="R23" s="10">
        <v>18</v>
      </c>
      <c r="S23" s="10">
        <v>15</v>
      </c>
      <c r="T23" s="10">
        <v>3</v>
      </c>
      <c r="U23">
        <f t="shared" si="0"/>
        <v>22</v>
      </c>
    </row>
    <row r="24" spans="1:21" x14ac:dyDescent="0.25">
      <c r="A24" s="21">
        <v>210011</v>
      </c>
      <c r="B24" s="7" t="s">
        <v>72</v>
      </c>
      <c r="C24" s="8" t="s">
        <v>21</v>
      </c>
      <c r="D24" s="7" t="s">
        <v>45</v>
      </c>
      <c r="E24" s="7" t="s">
        <v>46</v>
      </c>
      <c r="F24" s="7">
        <v>210006</v>
      </c>
      <c r="G24" s="7" t="s">
        <v>73</v>
      </c>
      <c r="H24" s="7">
        <v>210001</v>
      </c>
      <c r="I24" s="7" t="s">
        <v>48</v>
      </c>
      <c r="J24" s="9">
        <v>49000</v>
      </c>
      <c r="K24" s="10">
        <v>227</v>
      </c>
      <c r="L24" s="11" t="s">
        <v>33</v>
      </c>
      <c r="M24" s="8">
        <v>26</v>
      </c>
      <c r="N24" s="8">
        <v>20</v>
      </c>
      <c r="O24" s="8">
        <v>46</v>
      </c>
      <c r="P24" s="12">
        <v>0.37</v>
      </c>
      <c r="Q24" s="13">
        <v>0</v>
      </c>
      <c r="R24" s="10">
        <v>7</v>
      </c>
      <c r="S24" s="10">
        <v>4</v>
      </c>
      <c r="T24" s="10">
        <v>3</v>
      </c>
      <c r="U24">
        <f t="shared" si="0"/>
        <v>178</v>
      </c>
    </row>
    <row r="25" spans="1:21" x14ac:dyDescent="0.25">
      <c r="A25" s="21">
        <v>210051</v>
      </c>
      <c r="B25" s="7" t="s">
        <v>74</v>
      </c>
      <c r="C25" s="8" t="s">
        <v>21</v>
      </c>
      <c r="D25" s="7" t="s">
        <v>45</v>
      </c>
      <c r="E25" s="7" t="s">
        <v>46</v>
      </c>
      <c r="F25" s="7">
        <v>150021</v>
      </c>
      <c r="G25" s="7" t="s">
        <v>75</v>
      </c>
      <c r="H25" s="7">
        <v>210001</v>
      </c>
      <c r="I25" s="7" t="s">
        <v>48</v>
      </c>
      <c r="J25" s="9">
        <v>86200</v>
      </c>
      <c r="K25" s="10">
        <v>188</v>
      </c>
      <c r="L25" s="11" t="s">
        <v>33</v>
      </c>
      <c r="M25" s="8">
        <v>31</v>
      </c>
      <c r="N25" s="8">
        <v>46</v>
      </c>
      <c r="O25" s="8">
        <v>77</v>
      </c>
      <c r="P25" s="12">
        <v>0.46</v>
      </c>
      <c r="Q25" s="13">
        <v>46200</v>
      </c>
      <c r="R25" s="10">
        <v>6</v>
      </c>
      <c r="S25" s="10">
        <v>4</v>
      </c>
      <c r="T25" s="10">
        <v>2</v>
      </c>
      <c r="U25">
        <f t="shared" si="0"/>
        <v>189</v>
      </c>
    </row>
    <row r="26" spans="1:21" x14ac:dyDescent="0.25">
      <c r="A26" s="21">
        <v>210052</v>
      </c>
      <c r="B26" s="7" t="s">
        <v>76</v>
      </c>
      <c r="C26" s="8" t="s">
        <v>21</v>
      </c>
      <c r="D26" s="7" t="s">
        <v>45</v>
      </c>
      <c r="E26" s="7" t="s">
        <v>46</v>
      </c>
      <c r="F26" s="7">
        <v>210023</v>
      </c>
      <c r="G26" s="7" t="s">
        <v>47</v>
      </c>
      <c r="H26" s="7">
        <v>210001</v>
      </c>
      <c r="I26" s="7" t="s">
        <v>48</v>
      </c>
      <c r="J26" s="9">
        <v>48000</v>
      </c>
      <c r="K26" s="10">
        <v>228</v>
      </c>
      <c r="L26" s="11" t="s">
        <v>33</v>
      </c>
      <c r="M26" s="8">
        <v>30</v>
      </c>
      <c r="N26" s="8">
        <v>25</v>
      </c>
      <c r="O26" s="8">
        <v>55</v>
      </c>
      <c r="P26" s="12">
        <v>0.46</v>
      </c>
      <c r="Q26" s="13">
        <v>33000</v>
      </c>
      <c r="R26" s="10">
        <v>7</v>
      </c>
      <c r="S26" s="10">
        <v>6</v>
      </c>
      <c r="T26" s="10">
        <v>1</v>
      </c>
      <c r="U26">
        <f t="shared" si="0"/>
        <v>184</v>
      </c>
    </row>
    <row r="27" spans="1:21" x14ac:dyDescent="0.25">
      <c r="A27" s="21">
        <v>210053</v>
      </c>
      <c r="B27" s="7" t="s">
        <v>77</v>
      </c>
      <c r="C27" s="8" t="s">
        <v>21</v>
      </c>
      <c r="D27" s="7" t="s">
        <v>45</v>
      </c>
      <c r="E27" s="7" t="s">
        <v>46</v>
      </c>
      <c r="F27" s="7">
        <v>210023</v>
      </c>
      <c r="G27" s="7" t="s">
        <v>47</v>
      </c>
      <c r="H27" s="7">
        <v>210001</v>
      </c>
      <c r="I27" s="7" t="s">
        <v>48</v>
      </c>
      <c r="J27" s="9">
        <v>112400</v>
      </c>
      <c r="K27" s="10">
        <v>153</v>
      </c>
      <c r="L27" s="11" t="s">
        <v>26</v>
      </c>
      <c r="M27" s="8">
        <v>24</v>
      </c>
      <c r="N27" s="8">
        <v>34</v>
      </c>
      <c r="O27" s="8">
        <v>58</v>
      </c>
      <c r="P27" s="12">
        <v>0.51</v>
      </c>
      <c r="Q27" s="13">
        <v>46400</v>
      </c>
      <c r="R27" s="10">
        <v>6</v>
      </c>
      <c r="S27" s="10">
        <v>2</v>
      </c>
      <c r="T27" s="10">
        <v>4</v>
      </c>
      <c r="U27">
        <f t="shared" si="0"/>
        <v>204</v>
      </c>
    </row>
    <row r="28" spans="1:21" x14ac:dyDescent="0.25">
      <c r="A28" s="21">
        <v>210054</v>
      </c>
      <c r="B28" s="7" t="s">
        <v>78</v>
      </c>
      <c r="C28" s="8" t="s">
        <v>21</v>
      </c>
      <c r="D28" s="7" t="s">
        <v>45</v>
      </c>
      <c r="E28" s="7" t="s">
        <v>46</v>
      </c>
      <c r="F28" s="7">
        <v>210006</v>
      </c>
      <c r="G28" s="7" t="s">
        <v>73</v>
      </c>
      <c r="H28" s="7">
        <v>210001</v>
      </c>
      <c r="I28" s="7" t="s">
        <v>48</v>
      </c>
      <c r="J28" s="9">
        <v>81400</v>
      </c>
      <c r="K28" s="10">
        <v>193</v>
      </c>
      <c r="L28" s="11" t="s">
        <v>33</v>
      </c>
      <c r="M28" s="8">
        <v>35</v>
      </c>
      <c r="N28" s="8">
        <v>43</v>
      </c>
      <c r="O28" s="8">
        <v>78</v>
      </c>
      <c r="P28" s="12">
        <v>0.53</v>
      </c>
      <c r="Q28" s="13">
        <v>62400</v>
      </c>
      <c r="R28" s="10">
        <v>10</v>
      </c>
      <c r="S28" s="10">
        <v>9</v>
      </c>
      <c r="T28" s="10">
        <v>1</v>
      </c>
      <c r="U28">
        <f t="shared" si="0"/>
        <v>131</v>
      </c>
    </row>
    <row r="29" spans="1:21" x14ac:dyDescent="0.25">
      <c r="A29" s="21">
        <v>210058</v>
      </c>
      <c r="B29" s="7" t="s">
        <v>79</v>
      </c>
      <c r="C29" s="8" t="s">
        <v>21</v>
      </c>
      <c r="D29" s="7" t="s">
        <v>45</v>
      </c>
      <c r="E29" s="7" t="s">
        <v>46</v>
      </c>
      <c r="F29" s="7">
        <v>210023</v>
      </c>
      <c r="G29" s="7" t="s">
        <v>47</v>
      </c>
      <c r="H29" s="7">
        <v>210001</v>
      </c>
      <c r="I29" s="7" t="s">
        <v>48</v>
      </c>
      <c r="J29" s="9">
        <v>91800</v>
      </c>
      <c r="K29" s="10">
        <v>181</v>
      </c>
      <c r="L29" s="11" t="s">
        <v>33</v>
      </c>
      <c r="M29" s="8">
        <v>24</v>
      </c>
      <c r="N29" s="8">
        <v>29</v>
      </c>
      <c r="O29" s="8">
        <v>53</v>
      </c>
      <c r="P29" s="12">
        <v>0.42</v>
      </c>
      <c r="Q29" s="13">
        <v>31800</v>
      </c>
      <c r="R29" s="10">
        <v>6</v>
      </c>
      <c r="S29" s="10">
        <v>2</v>
      </c>
      <c r="T29" s="10">
        <v>4</v>
      </c>
      <c r="U29">
        <f t="shared" si="0"/>
        <v>193</v>
      </c>
    </row>
    <row r="30" spans="1:21" x14ac:dyDescent="0.25">
      <c r="A30" s="21">
        <v>210060000</v>
      </c>
      <c r="B30" s="7" t="s">
        <v>80</v>
      </c>
      <c r="C30" s="8" t="s">
        <v>21</v>
      </c>
      <c r="D30" s="7" t="s">
        <v>45</v>
      </c>
      <c r="E30" s="7" t="s">
        <v>46</v>
      </c>
      <c r="F30" s="7">
        <v>210006</v>
      </c>
      <c r="G30" s="7" t="s">
        <v>73</v>
      </c>
      <c r="H30" s="7">
        <v>210001</v>
      </c>
      <c r="I30" s="7" t="s">
        <v>48</v>
      </c>
      <c r="J30" s="9">
        <v>134800</v>
      </c>
      <c r="K30" s="10">
        <v>121</v>
      </c>
      <c r="L30" s="11" t="s">
        <v>26</v>
      </c>
      <c r="M30" s="8">
        <v>40</v>
      </c>
      <c r="N30" s="8">
        <v>56</v>
      </c>
      <c r="O30" s="8">
        <v>96</v>
      </c>
      <c r="P30" s="12">
        <v>0.53</v>
      </c>
      <c r="Q30" s="13">
        <v>76800</v>
      </c>
      <c r="R30" s="10">
        <v>10</v>
      </c>
      <c r="S30" s="10">
        <v>8</v>
      </c>
      <c r="T30" s="10">
        <v>2</v>
      </c>
      <c r="U30">
        <f t="shared" si="0"/>
        <v>130</v>
      </c>
    </row>
    <row r="31" spans="1:21" x14ac:dyDescent="0.25">
      <c r="A31" s="21">
        <v>210062000</v>
      </c>
      <c r="B31" s="7" t="s">
        <v>81</v>
      </c>
      <c r="C31" s="8" t="s">
        <v>21</v>
      </c>
      <c r="D31" s="7" t="s">
        <v>45</v>
      </c>
      <c r="E31" s="7" t="s">
        <v>82</v>
      </c>
      <c r="F31" s="7">
        <v>210050</v>
      </c>
      <c r="G31" s="7" t="s">
        <v>83</v>
      </c>
      <c r="H31" s="7">
        <v>210001</v>
      </c>
      <c r="I31" s="7" t="s">
        <v>48</v>
      </c>
      <c r="J31" s="9">
        <v>149400</v>
      </c>
      <c r="K31" s="10">
        <v>97</v>
      </c>
      <c r="L31" s="11" t="s">
        <v>26</v>
      </c>
      <c r="M31" s="8">
        <v>24</v>
      </c>
      <c r="N31" s="8">
        <v>50</v>
      </c>
      <c r="O31" s="8">
        <v>74</v>
      </c>
      <c r="P31" s="12">
        <v>0.45</v>
      </c>
      <c r="Q31" s="13">
        <v>44400</v>
      </c>
      <c r="R31" s="10">
        <v>11</v>
      </c>
      <c r="S31" s="10">
        <v>8</v>
      </c>
      <c r="T31" s="10">
        <v>3</v>
      </c>
      <c r="U31">
        <f t="shared" si="0"/>
        <v>96</v>
      </c>
    </row>
    <row r="32" spans="1:21" x14ac:dyDescent="0.25">
      <c r="A32" s="21">
        <v>210063000</v>
      </c>
      <c r="B32" s="7" t="s">
        <v>84</v>
      </c>
      <c r="C32" s="8" t="s">
        <v>21</v>
      </c>
      <c r="D32" s="7" t="s">
        <v>45</v>
      </c>
      <c r="E32" s="7" t="s">
        <v>82</v>
      </c>
      <c r="F32" s="7">
        <v>210050</v>
      </c>
      <c r="G32" s="7" t="s">
        <v>83</v>
      </c>
      <c r="H32" s="7">
        <v>210001</v>
      </c>
      <c r="I32" s="7" t="s">
        <v>48</v>
      </c>
      <c r="J32" s="9">
        <v>93200</v>
      </c>
      <c r="K32" s="10">
        <v>179</v>
      </c>
      <c r="L32" s="11" t="s">
        <v>33</v>
      </c>
      <c r="M32" s="8">
        <v>62</v>
      </c>
      <c r="N32" s="8">
        <v>52</v>
      </c>
      <c r="O32" s="8">
        <v>114</v>
      </c>
      <c r="P32" s="12">
        <v>0.59</v>
      </c>
      <c r="Q32" s="13">
        <v>91200</v>
      </c>
      <c r="R32" s="10">
        <v>15</v>
      </c>
      <c r="S32" s="10">
        <v>16</v>
      </c>
      <c r="T32" s="10">
        <v>0</v>
      </c>
      <c r="U32">
        <f t="shared" si="0"/>
        <v>40</v>
      </c>
    </row>
    <row r="33" spans="1:21" x14ac:dyDescent="0.25">
      <c r="A33" s="21">
        <v>210064000</v>
      </c>
      <c r="B33" s="7" t="s">
        <v>85</v>
      </c>
      <c r="C33" s="8" t="s">
        <v>21</v>
      </c>
      <c r="D33" s="7" t="s">
        <v>45</v>
      </c>
      <c r="E33" s="7" t="s">
        <v>82</v>
      </c>
      <c r="F33" s="7">
        <v>210050</v>
      </c>
      <c r="G33" s="7" t="s">
        <v>83</v>
      </c>
      <c r="H33" s="7">
        <v>210001</v>
      </c>
      <c r="I33" s="7" t="s">
        <v>48</v>
      </c>
      <c r="J33" s="9">
        <v>10000</v>
      </c>
      <c r="K33" s="10">
        <v>263</v>
      </c>
      <c r="L33" s="11" t="s">
        <v>33</v>
      </c>
      <c r="M33" s="8">
        <v>10</v>
      </c>
      <c r="N33" s="8">
        <v>0</v>
      </c>
      <c r="O33" s="8">
        <v>10</v>
      </c>
      <c r="P33" s="12">
        <v>0</v>
      </c>
      <c r="Q33" s="13">
        <v>0</v>
      </c>
      <c r="R33" s="10">
        <v>2</v>
      </c>
      <c r="S33" s="10">
        <v>0</v>
      </c>
      <c r="T33" s="10">
        <v>2</v>
      </c>
      <c r="U33">
        <f t="shared" si="0"/>
        <v>255</v>
      </c>
    </row>
    <row r="34" spans="1:21" x14ac:dyDescent="0.25">
      <c r="A34" s="21">
        <v>230029</v>
      </c>
      <c r="B34" s="7" t="s">
        <v>86</v>
      </c>
      <c r="C34" s="8" t="s">
        <v>21</v>
      </c>
      <c r="D34" s="7" t="s">
        <v>45</v>
      </c>
      <c r="E34" s="7" t="s">
        <v>87</v>
      </c>
      <c r="F34" s="7">
        <v>230003</v>
      </c>
      <c r="G34" s="7" t="s">
        <v>88</v>
      </c>
      <c r="H34" s="7">
        <v>210001</v>
      </c>
      <c r="I34" s="7" t="s">
        <v>48</v>
      </c>
      <c r="J34" s="9">
        <v>87000</v>
      </c>
      <c r="K34" s="10">
        <v>187</v>
      </c>
      <c r="L34" s="11" t="s">
        <v>33</v>
      </c>
      <c r="M34" s="8">
        <v>43</v>
      </c>
      <c r="N34" s="8">
        <v>27</v>
      </c>
      <c r="O34" s="8">
        <v>70</v>
      </c>
      <c r="P34" s="12">
        <v>0.48</v>
      </c>
      <c r="Q34" s="13">
        <v>42000</v>
      </c>
      <c r="R34" s="10">
        <v>6</v>
      </c>
      <c r="S34" s="10">
        <v>3</v>
      </c>
      <c r="T34" s="10">
        <v>3</v>
      </c>
      <c r="U34">
        <f t="shared" si="0"/>
        <v>201</v>
      </c>
    </row>
    <row r="35" spans="1:21" x14ac:dyDescent="0.25">
      <c r="A35" s="21">
        <v>230048</v>
      </c>
      <c r="B35" s="7" t="s">
        <v>89</v>
      </c>
      <c r="C35" s="8" t="s">
        <v>21</v>
      </c>
      <c r="D35" s="7" t="s">
        <v>45</v>
      </c>
      <c r="E35" s="7" t="s">
        <v>87</v>
      </c>
      <c r="F35" s="7">
        <v>230003</v>
      </c>
      <c r="G35" s="7" t="s">
        <v>88</v>
      </c>
      <c r="H35" s="7">
        <v>210001</v>
      </c>
      <c r="I35" s="7" t="s">
        <v>48</v>
      </c>
      <c r="J35" s="9">
        <v>122600</v>
      </c>
      <c r="K35" s="10">
        <v>139</v>
      </c>
      <c r="L35" s="11" t="s">
        <v>26</v>
      </c>
      <c r="M35" s="8">
        <v>56</v>
      </c>
      <c r="N35" s="8">
        <v>26</v>
      </c>
      <c r="O35" s="8">
        <v>82</v>
      </c>
      <c r="P35" s="12">
        <v>0.59</v>
      </c>
      <c r="Q35" s="13">
        <v>65600</v>
      </c>
      <c r="R35" s="10">
        <v>6</v>
      </c>
      <c r="S35" s="10">
        <v>3</v>
      </c>
      <c r="T35" s="10">
        <v>3</v>
      </c>
      <c r="U35">
        <f t="shared" si="0"/>
        <v>202</v>
      </c>
    </row>
    <row r="36" spans="1:21" x14ac:dyDescent="0.25">
      <c r="A36" s="21">
        <v>240000206</v>
      </c>
      <c r="B36" s="7" t="s">
        <v>90</v>
      </c>
      <c r="C36" s="8" t="s">
        <v>21</v>
      </c>
      <c r="D36" s="7" t="s">
        <v>91</v>
      </c>
      <c r="E36" s="7" t="s">
        <v>92</v>
      </c>
      <c r="F36" s="7">
        <v>920001000</v>
      </c>
      <c r="G36" s="7" t="s">
        <v>93</v>
      </c>
      <c r="H36" s="7">
        <v>410000011</v>
      </c>
      <c r="I36" s="7" t="s">
        <v>94</v>
      </c>
      <c r="J36" s="9">
        <v>12000</v>
      </c>
      <c r="K36" s="10">
        <v>261</v>
      </c>
      <c r="L36" s="11" t="s">
        <v>33</v>
      </c>
      <c r="M36" s="8">
        <v>11</v>
      </c>
      <c r="N36" s="8">
        <v>21</v>
      </c>
      <c r="O36" s="8">
        <v>32</v>
      </c>
      <c r="P36" s="12">
        <v>0.36</v>
      </c>
      <c r="Q36" s="13">
        <v>0</v>
      </c>
      <c r="R36" s="10">
        <v>3</v>
      </c>
      <c r="S36" s="10">
        <v>1</v>
      </c>
      <c r="T36" s="10">
        <v>2</v>
      </c>
      <c r="U36">
        <f t="shared" si="0"/>
        <v>242</v>
      </c>
    </row>
    <row r="37" spans="1:21" x14ac:dyDescent="0.25">
      <c r="A37" s="21">
        <v>240001</v>
      </c>
      <c r="B37" s="7" t="s">
        <v>95</v>
      </c>
      <c r="C37" s="8" t="s">
        <v>21</v>
      </c>
      <c r="D37" s="7" t="s">
        <v>96</v>
      </c>
      <c r="E37" s="7" t="s">
        <v>97</v>
      </c>
      <c r="F37" s="7">
        <v>230019</v>
      </c>
      <c r="G37" s="7" t="s">
        <v>98</v>
      </c>
      <c r="H37" s="7">
        <v>300910002</v>
      </c>
      <c r="I37" s="7" t="s">
        <v>99</v>
      </c>
      <c r="J37" s="9">
        <v>213000</v>
      </c>
      <c r="K37" s="10">
        <v>54</v>
      </c>
      <c r="L37" s="11" t="s">
        <v>26</v>
      </c>
      <c r="M37" s="8">
        <v>87</v>
      </c>
      <c r="N37" s="8">
        <v>3</v>
      </c>
      <c r="O37" s="8">
        <v>90</v>
      </c>
      <c r="P37" s="12">
        <v>0.96</v>
      </c>
      <c r="Q37" s="13">
        <v>108000</v>
      </c>
      <c r="R37" s="10">
        <v>16</v>
      </c>
      <c r="S37" s="10">
        <v>13</v>
      </c>
      <c r="T37" s="10">
        <v>3</v>
      </c>
      <c r="U37">
        <f t="shared" si="0"/>
        <v>34</v>
      </c>
    </row>
    <row r="38" spans="1:21" x14ac:dyDescent="0.25">
      <c r="A38" s="21">
        <v>270024</v>
      </c>
      <c r="B38" s="7" t="s">
        <v>100</v>
      </c>
      <c r="C38" s="8" t="s">
        <v>21</v>
      </c>
      <c r="D38" s="7" t="s">
        <v>22</v>
      </c>
      <c r="E38" s="7" t="s">
        <v>101</v>
      </c>
      <c r="F38" s="7">
        <v>95000205</v>
      </c>
      <c r="G38" s="7" t="s">
        <v>102</v>
      </c>
      <c r="H38" s="7">
        <v>400000122</v>
      </c>
      <c r="I38" s="7" t="s">
        <v>25</v>
      </c>
      <c r="J38" s="9">
        <v>227000</v>
      </c>
      <c r="K38" s="10">
        <v>41</v>
      </c>
      <c r="L38" s="11" t="s">
        <v>26</v>
      </c>
      <c r="M38" s="8">
        <v>97</v>
      </c>
      <c r="N38" s="8">
        <v>25</v>
      </c>
      <c r="O38" s="8">
        <v>122</v>
      </c>
      <c r="P38" s="12">
        <v>0.63</v>
      </c>
      <c r="Q38" s="13">
        <v>122000</v>
      </c>
      <c r="R38" s="10">
        <v>16</v>
      </c>
      <c r="S38" s="10">
        <v>13</v>
      </c>
      <c r="T38" s="10">
        <v>3</v>
      </c>
      <c r="U38">
        <f t="shared" si="0"/>
        <v>35</v>
      </c>
    </row>
    <row r="39" spans="1:21" x14ac:dyDescent="0.25">
      <c r="A39" s="21">
        <v>270037</v>
      </c>
      <c r="B39" s="7" t="s">
        <v>103</v>
      </c>
      <c r="C39" s="8" t="s">
        <v>21</v>
      </c>
      <c r="D39" s="7" t="s">
        <v>22</v>
      </c>
      <c r="E39" s="7" t="s">
        <v>101</v>
      </c>
      <c r="F39" s="7">
        <v>270001</v>
      </c>
      <c r="G39" s="7" t="s">
        <v>104</v>
      </c>
      <c r="H39" s="7">
        <v>400000122</v>
      </c>
      <c r="I39" s="7" t="s">
        <v>25</v>
      </c>
      <c r="J39" s="9">
        <v>194800</v>
      </c>
      <c r="K39" s="10">
        <v>65</v>
      </c>
      <c r="L39" s="11" t="s">
        <v>26</v>
      </c>
      <c r="M39" s="8">
        <v>79</v>
      </c>
      <c r="N39" s="8">
        <v>25</v>
      </c>
      <c r="O39" s="8">
        <v>104</v>
      </c>
      <c r="P39" s="12">
        <v>0.76</v>
      </c>
      <c r="Q39" s="13">
        <v>124800</v>
      </c>
      <c r="R39" s="10">
        <v>13</v>
      </c>
      <c r="S39" s="10">
        <v>11</v>
      </c>
      <c r="T39" s="10">
        <v>2</v>
      </c>
      <c r="U39">
        <f t="shared" si="0"/>
        <v>71</v>
      </c>
    </row>
    <row r="40" spans="1:21" x14ac:dyDescent="0.25">
      <c r="A40" s="21">
        <v>270042</v>
      </c>
      <c r="B40" s="7" t="s">
        <v>105</v>
      </c>
      <c r="C40" s="8" t="s">
        <v>21</v>
      </c>
      <c r="D40" s="7" t="s">
        <v>22</v>
      </c>
      <c r="E40" s="7" t="s">
        <v>101</v>
      </c>
      <c r="F40" s="7">
        <v>95000205</v>
      </c>
      <c r="G40" s="7" t="s">
        <v>102</v>
      </c>
      <c r="H40" s="7">
        <v>400000122</v>
      </c>
      <c r="I40" s="7" t="s">
        <v>25</v>
      </c>
      <c r="J40" s="9">
        <v>141200</v>
      </c>
      <c r="K40" s="10">
        <v>108</v>
      </c>
      <c r="L40" s="11" t="s">
        <v>26</v>
      </c>
      <c r="M40" s="8">
        <v>62</v>
      </c>
      <c r="N40" s="8">
        <v>27</v>
      </c>
      <c r="O40" s="8">
        <v>89</v>
      </c>
      <c r="P40" s="12">
        <v>0.59</v>
      </c>
      <c r="Q40" s="13">
        <v>71200</v>
      </c>
      <c r="R40" s="10">
        <v>11</v>
      </c>
      <c r="S40" s="10">
        <v>9</v>
      </c>
      <c r="T40" s="10">
        <v>2</v>
      </c>
      <c r="U40">
        <f t="shared" si="0"/>
        <v>112</v>
      </c>
    </row>
    <row r="41" spans="1:21" x14ac:dyDescent="0.25">
      <c r="A41" s="21">
        <v>290083</v>
      </c>
      <c r="B41" s="7" t="s">
        <v>106</v>
      </c>
      <c r="C41" s="8" t="s">
        <v>21</v>
      </c>
      <c r="D41" s="7" t="s">
        <v>91</v>
      </c>
      <c r="E41" s="7" t="s">
        <v>107</v>
      </c>
      <c r="F41" s="7">
        <v>93200205</v>
      </c>
      <c r="G41" s="7" t="s">
        <v>108</v>
      </c>
      <c r="H41" s="7">
        <v>410000011</v>
      </c>
      <c r="I41" s="7" t="s">
        <v>94</v>
      </c>
      <c r="J41" s="9">
        <v>19600</v>
      </c>
      <c r="K41" s="10">
        <v>256</v>
      </c>
      <c r="L41" s="11" t="s">
        <v>33</v>
      </c>
      <c r="M41" s="8">
        <v>10</v>
      </c>
      <c r="N41" s="8">
        <v>16</v>
      </c>
      <c r="O41" s="8">
        <v>26</v>
      </c>
      <c r="P41" s="12">
        <v>0.42</v>
      </c>
      <c r="Q41" s="13">
        <v>15600</v>
      </c>
      <c r="R41" s="10">
        <v>1</v>
      </c>
      <c r="S41" s="10">
        <v>1</v>
      </c>
      <c r="T41" s="10">
        <v>0</v>
      </c>
      <c r="U41">
        <f t="shared" si="0"/>
        <v>263</v>
      </c>
    </row>
    <row r="42" spans="1:21" x14ac:dyDescent="0.25">
      <c r="A42" s="21">
        <v>290085</v>
      </c>
      <c r="B42" s="7" t="s">
        <v>109</v>
      </c>
      <c r="C42" s="8" t="s">
        <v>21</v>
      </c>
      <c r="D42" s="7" t="s">
        <v>91</v>
      </c>
      <c r="E42" s="7" t="s">
        <v>107</v>
      </c>
      <c r="F42" s="7">
        <v>290013</v>
      </c>
      <c r="G42" s="7" t="s">
        <v>110</v>
      </c>
      <c r="H42" s="7">
        <v>410000011</v>
      </c>
      <c r="I42" s="7" t="s">
        <v>94</v>
      </c>
      <c r="J42" s="9">
        <v>24800</v>
      </c>
      <c r="K42" s="10">
        <v>251</v>
      </c>
      <c r="L42" s="11" t="s">
        <v>33</v>
      </c>
      <c r="M42" s="8">
        <v>20</v>
      </c>
      <c r="N42" s="8">
        <v>18</v>
      </c>
      <c r="O42" s="8">
        <v>38</v>
      </c>
      <c r="P42" s="12">
        <v>0.47</v>
      </c>
      <c r="Q42" s="13">
        <v>22800</v>
      </c>
      <c r="R42" s="10">
        <v>2</v>
      </c>
      <c r="S42" s="10">
        <v>2</v>
      </c>
      <c r="T42" s="10">
        <v>0</v>
      </c>
      <c r="U42">
        <f t="shared" si="0"/>
        <v>250</v>
      </c>
    </row>
    <row r="43" spans="1:21" x14ac:dyDescent="0.25">
      <c r="A43" s="21">
        <v>300001</v>
      </c>
      <c r="B43" s="7" t="s">
        <v>111</v>
      </c>
      <c r="C43" s="8" t="s">
        <v>21</v>
      </c>
      <c r="D43" s="7" t="s">
        <v>91</v>
      </c>
      <c r="E43" s="7" t="s">
        <v>92</v>
      </c>
      <c r="F43" s="7">
        <v>9200010001</v>
      </c>
      <c r="G43" s="7" t="s">
        <v>112</v>
      </c>
      <c r="H43" s="7">
        <v>410000011</v>
      </c>
      <c r="I43" s="7" t="s">
        <v>94</v>
      </c>
      <c r="J43" s="9">
        <v>2000</v>
      </c>
      <c r="K43" s="10">
        <v>270</v>
      </c>
      <c r="L43" s="11" t="s">
        <v>33</v>
      </c>
      <c r="M43" s="8">
        <v>25</v>
      </c>
      <c r="N43" s="8">
        <v>16</v>
      </c>
      <c r="O43" s="8">
        <v>41</v>
      </c>
      <c r="P43" s="12">
        <v>0.31</v>
      </c>
      <c r="Q43" s="13">
        <v>0</v>
      </c>
      <c r="R43" s="10">
        <v>2</v>
      </c>
      <c r="S43" s="10">
        <v>3</v>
      </c>
      <c r="T43" s="10">
        <v>0</v>
      </c>
      <c r="U43">
        <f t="shared" si="0"/>
        <v>251</v>
      </c>
    </row>
    <row r="44" spans="1:21" x14ac:dyDescent="0.25">
      <c r="A44" s="21">
        <v>300007</v>
      </c>
      <c r="B44" s="7" t="s">
        <v>113</v>
      </c>
      <c r="C44" s="8" t="s">
        <v>21</v>
      </c>
      <c r="D44" s="7" t="s">
        <v>91</v>
      </c>
      <c r="E44" s="7" t="s">
        <v>92</v>
      </c>
      <c r="F44" s="7">
        <v>9200010001</v>
      </c>
      <c r="G44" s="7" t="s">
        <v>112</v>
      </c>
      <c r="H44" s="7">
        <v>410000011</v>
      </c>
      <c r="I44" s="7" t="s">
        <v>94</v>
      </c>
      <c r="J44" s="9">
        <v>0</v>
      </c>
      <c r="K44" s="10">
        <v>274</v>
      </c>
      <c r="L44" s="11" t="s">
        <v>33</v>
      </c>
      <c r="M44" s="8">
        <v>8</v>
      </c>
      <c r="N44" s="8">
        <v>10</v>
      </c>
      <c r="O44" s="8">
        <v>18</v>
      </c>
      <c r="P44" s="12">
        <v>0.35</v>
      </c>
      <c r="Q44" s="13">
        <v>0</v>
      </c>
      <c r="R44" s="10">
        <v>0</v>
      </c>
      <c r="S44" s="10">
        <v>0</v>
      </c>
      <c r="T44" s="10">
        <v>0</v>
      </c>
      <c r="U44">
        <f t="shared" si="0"/>
        <v>278</v>
      </c>
    </row>
    <row r="45" spans="1:21" x14ac:dyDescent="0.25">
      <c r="A45" s="21">
        <v>300330020</v>
      </c>
      <c r="B45" s="7" t="s">
        <v>114</v>
      </c>
      <c r="C45" s="8" t="s">
        <v>21</v>
      </c>
      <c r="D45" s="7" t="s">
        <v>29</v>
      </c>
      <c r="E45" s="7" t="s">
        <v>115</v>
      </c>
      <c r="F45" s="7">
        <v>93000108</v>
      </c>
      <c r="G45" s="7" t="s">
        <v>116</v>
      </c>
      <c r="H45" s="7">
        <v>300310001</v>
      </c>
      <c r="I45" s="7" t="s">
        <v>32</v>
      </c>
      <c r="J45" s="9">
        <v>284000</v>
      </c>
      <c r="K45" s="10">
        <v>23</v>
      </c>
      <c r="L45" s="11" t="s">
        <v>26</v>
      </c>
      <c r="M45" s="8">
        <v>86</v>
      </c>
      <c r="N45" s="8">
        <v>19</v>
      </c>
      <c r="O45" s="8">
        <v>105</v>
      </c>
      <c r="P45" s="12">
        <v>0.65</v>
      </c>
      <c r="Q45" s="13">
        <v>105000</v>
      </c>
      <c r="R45" s="10">
        <v>16</v>
      </c>
      <c r="S45" s="10">
        <v>11</v>
      </c>
      <c r="T45" s="10">
        <v>5</v>
      </c>
      <c r="U45">
        <f t="shared" si="0"/>
        <v>33</v>
      </c>
    </row>
    <row r="46" spans="1:21" x14ac:dyDescent="0.25">
      <c r="A46" s="21">
        <v>300740023</v>
      </c>
      <c r="B46" s="7" t="s">
        <v>117</v>
      </c>
      <c r="C46" s="8" t="s">
        <v>21</v>
      </c>
      <c r="D46" s="7" t="s">
        <v>29</v>
      </c>
      <c r="E46" s="7" t="s">
        <v>118</v>
      </c>
      <c r="F46" s="7">
        <v>300710002</v>
      </c>
      <c r="G46" s="7" t="s">
        <v>119</v>
      </c>
      <c r="H46" s="7">
        <v>300310001</v>
      </c>
      <c r="I46" s="7" t="s">
        <v>32</v>
      </c>
      <c r="J46" s="9">
        <v>66000</v>
      </c>
      <c r="K46" s="10">
        <v>210</v>
      </c>
      <c r="L46" s="11" t="s">
        <v>33</v>
      </c>
      <c r="M46" s="8">
        <v>36</v>
      </c>
      <c r="N46" s="8">
        <v>19</v>
      </c>
      <c r="O46" s="8">
        <v>55</v>
      </c>
      <c r="P46" s="12">
        <v>0.36</v>
      </c>
      <c r="Q46" s="13">
        <v>0</v>
      </c>
      <c r="R46" s="10">
        <v>8</v>
      </c>
      <c r="S46" s="10">
        <v>4</v>
      </c>
      <c r="T46" s="10">
        <v>4</v>
      </c>
      <c r="U46">
        <f t="shared" si="0"/>
        <v>161</v>
      </c>
    </row>
    <row r="47" spans="1:21" x14ac:dyDescent="0.25">
      <c r="A47" s="21">
        <v>301230017</v>
      </c>
      <c r="B47" s="7" t="s">
        <v>120</v>
      </c>
      <c r="C47" s="8" t="s">
        <v>21</v>
      </c>
      <c r="D47" s="7" t="s">
        <v>45</v>
      </c>
      <c r="E47" s="7" t="s">
        <v>87</v>
      </c>
      <c r="F47" s="7">
        <v>230046</v>
      </c>
      <c r="G47" s="7" t="s">
        <v>121</v>
      </c>
      <c r="H47" s="7">
        <v>210001</v>
      </c>
      <c r="I47" s="7" t="s">
        <v>48</v>
      </c>
      <c r="J47" s="9">
        <v>69000</v>
      </c>
      <c r="K47" s="10">
        <v>206</v>
      </c>
      <c r="L47" s="11" t="s">
        <v>33</v>
      </c>
      <c r="M47" s="8">
        <v>37</v>
      </c>
      <c r="N47" s="8">
        <v>26</v>
      </c>
      <c r="O47" s="8">
        <v>63</v>
      </c>
      <c r="P47" s="12">
        <v>0.63</v>
      </c>
      <c r="Q47" s="13">
        <v>63000</v>
      </c>
      <c r="R47" s="10">
        <v>3</v>
      </c>
      <c r="S47" s="10">
        <v>12</v>
      </c>
      <c r="T47" s="10">
        <v>0</v>
      </c>
      <c r="U47">
        <f t="shared" si="0"/>
        <v>240</v>
      </c>
    </row>
    <row r="48" spans="1:21" x14ac:dyDescent="0.25">
      <c r="A48" s="21">
        <v>301230116</v>
      </c>
      <c r="B48" s="7" t="s">
        <v>122</v>
      </c>
      <c r="C48" s="8" t="s">
        <v>21</v>
      </c>
      <c r="D48" s="7" t="s">
        <v>45</v>
      </c>
      <c r="E48" s="7" t="s">
        <v>87</v>
      </c>
      <c r="F48" s="7">
        <v>230046</v>
      </c>
      <c r="G48" s="7" t="s">
        <v>121</v>
      </c>
      <c r="H48" s="7">
        <v>210001</v>
      </c>
      <c r="I48" s="7" t="s">
        <v>48</v>
      </c>
      <c r="J48" s="9">
        <v>238000</v>
      </c>
      <c r="K48" s="10">
        <v>38</v>
      </c>
      <c r="L48" s="11" t="s">
        <v>26</v>
      </c>
      <c r="M48" s="8">
        <v>78</v>
      </c>
      <c r="N48" s="8">
        <v>38</v>
      </c>
      <c r="O48" s="8">
        <v>116</v>
      </c>
      <c r="P48" s="12">
        <v>0.65</v>
      </c>
      <c r="Q48" s="13">
        <v>116000</v>
      </c>
      <c r="R48" s="10">
        <v>14</v>
      </c>
      <c r="S48" s="10">
        <v>6</v>
      </c>
      <c r="T48" s="10">
        <v>8</v>
      </c>
      <c r="U48">
        <f t="shared" si="0"/>
        <v>56</v>
      </c>
    </row>
    <row r="49" spans="1:21" x14ac:dyDescent="0.25">
      <c r="A49" s="21">
        <v>301230117</v>
      </c>
      <c r="B49" s="7" t="s">
        <v>123</v>
      </c>
      <c r="C49" s="8" t="s">
        <v>21</v>
      </c>
      <c r="D49" s="7" t="s">
        <v>45</v>
      </c>
      <c r="E49" s="7" t="s">
        <v>87</v>
      </c>
      <c r="F49" s="7">
        <v>230003</v>
      </c>
      <c r="G49" s="7" t="s">
        <v>88</v>
      </c>
      <c r="H49" s="7">
        <v>210001</v>
      </c>
      <c r="I49" s="7" t="s">
        <v>48</v>
      </c>
      <c r="J49" s="9">
        <v>159200</v>
      </c>
      <c r="K49" s="10">
        <v>86</v>
      </c>
      <c r="L49" s="11" t="s">
        <v>26</v>
      </c>
      <c r="M49" s="8">
        <v>58</v>
      </c>
      <c r="N49" s="8">
        <v>29</v>
      </c>
      <c r="O49" s="8">
        <v>87</v>
      </c>
      <c r="P49" s="12">
        <v>0.44</v>
      </c>
      <c r="Q49" s="13">
        <v>52200</v>
      </c>
      <c r="R49" s="10">
        <v>9</v>
      </c>
      <c r="S49" s="10">
        <v>2</v>
      </c>
      <c r="T49" s="10">
        <v>7</v>
      </c>
      <c r="U49">
        <f t="shared" si="0"/>
        <v>137</v>
      </c>
    </row>
    <row r="50" spans="1:21" x14ac:dyDescent="0.25">
      <c r="A50" s="21">
        <v>301230118</v>
      </c>
      <c r="B50" s="7" t="s">
        <v>124</v>
      </c>
      <c r="C50" s="8" t="s">
        <v>21</v>
      </c>
      <c r="D50" s="7" t="s">
        <v>45</v>
      </c>
      <c r="E50" s="7" t="s">
        <v>87</v>
      </c>
      <c r="F50" s="7">
        <v>230046</v>
      </c>
      <c r="G50" s="7" t="s">
        <v>121</v>
      </c>
      <c r="H50" s="7">
        <v>210001</v>
      </c>
      <c r="I50" s="7" t="s">
        <v>48</v>
      </c>
      <c r="J50" s="9">
        <v>121000</v>
      </c>
      <c r="K50" s="10">
        <v>140</v>
      </c>
      <c r="L50" s="11" t="s">
        <v>26</v>
      </c>
      <c r="M50" s="8">
        <v>22</v>
      </c>
      <c r="N50" s="8">
        <v>24</v>
      </c>
      <c r="O50" s="8">
        <v>46</v>
      </c>
      <c r="P50" s="12">
        <v>0.6</v>
      </c>
      <c r="Q50" s="13">
        <v>46000</v>
      </c>
      <c r="R50" s="10">
        <v>7</v>
      </c>
      <c r="S50" s="10">
        <v>2</v>
      </c>
      <c r="T50" s="10">
        <v>5</v>
      </c>
      <c r="U50">
        <f t="shared" si="0"/>
        <v>170</v>
      </c>
    </row>
    <row r="51" spans="1:21" x14ac:dyDescent="0.25">
      <c r="A51" s="21">
        <v>301230153</v>
      </c>
      <c r="B51" s="7" t="s">
        <v>125</v>
      </c>
      <c r="C51" s="8" t="s">
        <v>21</v>
      </c>
      <c r="D51" s="7" t="s">
        <v>45</v>
      </c>
      <c r="E51" s="7" t="s">
        <v>87</v>
      </c>
      <c r="F51" s="7">
        <v>230003</v>
      </c>
      <c r="G51" s="7" t="s">
        <v>88</v>
      </c>
      <c r="H51" s="7">
        <v>210001</v>
      </c>
      <c r="I51" s="7" t="s">
        <v>48</v>
      </c>
      <c r="J51" s="9">
        <v>127000</v>
      </c>
      <c r="K51" s="10">
        <v>130</v>
      </c>
      <c r="L51" s="11" t="s">
        <v>26</v>
      </c>
      <c r="M51" s="8">
        <v>33</v>
      </c>
      <c r="N51" s="8">
        <v>19</v>
      </c>
      <c r="O51" s="8">
        <v>52</v>
      </c>
      <c r="P51" s="12">
        <v>0.63</v>
      </c>
      <c r="Q51" s="13">
        <v>52000</v>
      </c>
      <c r="R51" s="10">
        <v>7</v>
      </c>
      <c r="S51" s="10">
        <v>4</v>
      </c>
      <c r="T51" s="10">
        <v>3</v>
      </c>
      <c r="U51">
        <f t="shared" si="0"/>
        <v>177</v>
      </c>
    </row>
    <row r="52" spans="1:21" x14ac:dyDescent="0.25">
      <c r="A52" s="21">
        <v>301230170</v>
      </c>
      <c r="B52" s="7" t="s">
        <v>126</v>
      </c>
      <c r="C52" s="8" t="s">
        <v>21</v>
      </c>
      <c r="D52" s="7" t="s">
        <v>45</v>
      </c>
      <c r="E52" s="7" t="s">
        <v>87</v>
      </c>
      <c r="F52" s="7">
        <v>230003</v>
      </c>
      <c r="G52" s="7" t="s">
        <v>88</v>
      </c>
      <c r="H52" s="7">
        <v>210001</v>
      </c>
      <c r="I52" s="7" t="s">
        <v>48</v>
      </c>
      <c r="J52" s="9">
        <v>0</v>
      </c>
      <c r="K52" s="10">
        <v>274</v>
      </c>
      <c r="L52" s="11" t="s">
        <v>33</v>
      </c>
      <c r="M52" s="8">
        <v>1</v>
      </c>
      <c r="N52" s="8">
        <v>0</v>
      </c>
      <c r="O52" s="8">
        <v>1</v>
      </c>
      <c r="P52" s="12">
        <v>0</v>
      </c>
      <c r="Q52" s="13">
        <v>0</v>
      </c>
      <c r="R52" s="10">
        <v>0</v>
      </c>
      <c r="S52" s="10">
        <v>0</v>
      </c>
      <c r="T52" s="10">
        <v>0</v>
      </c>
      <c r="U52">
        <f t="shared" si="0"/>
        <v>289</v>
      </c>
    </row>
    <row r="53" spans="1:21" x14ac:dyDescent="0.25">
      <c r="A53" s="21">
        <v>30124007</v>
      </c>
      <c r="B53" s="7" t="s">
        <v>127</v>
      </c>
      <c r="C53" s="8" t="s">
        <v>21</v>
      </c>
      <c r="D53" s="7" t="s">
        <v>45</v>
      </c>
      <c r="E53" s="7" t="s">
        <v>87</v>
      </c>
      <c r="F53" s="7">
        <v>230003</v>
      </c>
      <c r="G53" s="7" t="s">
        <v>88</v>
      </c>
      <c r="H53" s="7">
        <v>210001</v>
      </c>
      <c r="I53" s="7" t="s">
        <v>48</v>
      </c>
      <c r="J53" s="9">
        <v>42200</v>
      </c>
      <c r="K53" s="10">
        <v>236</v>
      </c>
      <c r="L53" s="11" t="s">
        <v>33</v>
      </c>
      <c r="M53" s="8">
        <v>19</v>
      </c>
      <c r="N53" s="8">
        <v>23</v>
      </c>
      <c r="O53" s="8">
        <v>42</v>
      </c>
      <c r="P53" s="12">
        <v>0.41</v>
      </c>
      <c r="Q53" s="13">
        <v>25200</v>
      </c>
      <c r="R53" s="10">
        <v>3</v>
      </c>
      <c r="S53" s="10">
        <v>2</v>
      </c>
      <c r="T53" s="10">
        <v>1</v>
      </c>
      <c r="U53">
        <f t="shared" si="0"/>
        <v>235</v>
      </c>
    </row>
    <row r="54" spans="1:21" x14ac:dyDescent="0.25">
      <c r="A54" s="21">
        <v>302140076</v>
      </c>
      <c r="B54" s="7" t="s">
        <v>128</v>
      </c>
      <c r="C54" s="8" t="s">
        <v>21</v>
      </c>
      <c r="D54" s="7" t="s">
        <v>96</v>
      </c>
      <c r="E54" s="7" t="s">
        <v>129</v>
      </c>
      <c r="F54" s="7">
        <v>96200201</v>
      </c>
      <c r="G54" s="7" t="s">
        <v>130</v>
      </c>
      <c r="H54" s="7">
        <v>300910002</v>
      </c>
      <c r="I54" s="7" t="s">
        <v>99</v>
      </c>
      <c r="J54" s="9">
        <v>157800</v>
      </c>
      <c r="K54" s="10">
        <v>88</v>
      </c>
      <c r="L54" s="11" t="s">
        <v>26</v>
      </c>
      <c r="M54" s="8">
        <v>93</v>
      </c>
      <c r="N54" s="8">
        <v>63</v>
      </c>
      <c r="O54" s="8">
        <v>156</v>
      </c>
      <c r="P54" s="12">
        <v>0.54</v>
      </c>
      <c r="Q54" s="13">
        <v>124800</v>
      </c>
      <c r="R54" s="10">
        <v>17</v>
      </c>
      <c r="S54" s="10">
        <v>12</v>
      </c>
      <c r="T54" s="10">
        <v>5</v>
      </c>
      <c r="U54">
        <f t="shared" si="0"/>
        <v>27</v>
      </c>
    </row>
    <row r="55" spans="1:21" x14ac:dyDescent="0.25">
      <c r="A55" s="21">
        <v>302330020</v>
      </c>
      <c r="B55" s="7" t="s">
        <v>131</v>
      </c>
      <c r="C55" s="8" t="s">
        <v>21</v>
      </c>
      <c r="D55" s="7" t="s">
        <v>29</v>
      </c>
      <c r="E55" s="7" t="s">
        <v>35</v>
      </c>
      <c r="F55" s="7">
        <v>302320002</v>
      </c>
      <c r="G55" s="7" t="s">
        <v>36</v>
      </c>
      <c r="H55" s="7">
        <v>300310001</v>
      </c>
      <c r="I55" s="7" t="s">
        <v>32</v>
      </c>
      <c r="J55" s="9">
        <v>197000</v>
      </c>
      <c r="K55" s="10">
        <v>62</v>
      </c>
      <c r="L55" s="11" t="s">
        <v>26</v>
      </c>
      <c r="M55" s="8">
        <v>49</v>
      </c>
      <c r="N55" s="8">
        <v>56</v>
      </c>
      <c r="O55" s="8">
        <v>105</v>
      </c>
      <c r="P55" s="12">
        <v>0.51</v>
      </c>
      <c r="Q55" s="13">
        <v>84000</v>
      </c>
      <c r="R55" s="10">
        <v>11</v>
      </c>
      <c r="S55" s="10">
        <v>8</v>
      </c>
      <c r="T55" s="10">
        <v>3</v>
      </c>
      <c r="U55">
        <f t="shared" si="0"/>
        <v>97</v>
      </c>
    </row>
    <row r="56" spans="1:21" x14ac:dyDescent="0.25">
      <c r="A56" s="21">
        <v>302330027</v>
      </c>
      <c r="B56" s="7" t="s">
        <v>132</v>
      </c>
      <c r="C56" s="8" t="s">
        <v>21</v>
      </c>
      <c r="D56" s="7" t="s">
        <v>29</v>
      </c>
      <c r="E56" s="7" t="s">
        <v>35</v>
      </c>
      <c r="F56" s="7">
        <v>93200201</v>
      </c>
      <c r="G56" s="7" t="s">
        <v>39</v>
      </c>
      <c r="H56" s="7">
        <v>300310001</v>
      </c>
      <c r="I56" s="7" t="s">
        <v>32</v>
      </c>
      <c r="J56" s="9">
        <v>83000</v>
      </c>
      <c r="K56" s="10">
        <v>191</v>
      </c>
      <c r="L56" s="11" t="s">
        <v>33</v>
      </c>
      <c r="M56" s="8">
        <v>46</v>
      </c>
      <c r="N56" s="8">
        <v>39</v>
      </c>
      <c r="O56" s="8">
        <v>85</v>
      </c>
      <c r="P56" s="12">
        <v>0.49</v>
      </c>
      <c r="Q56" s="13">
        <v>51000</v>
      </c>
      <c r="R56" s="10">
        <v>9</v>
      </c>
      <c r="S56" s="10">
        <v>3</v>
      </c>
      <c r="T56" s="10">
        <v>6</v>
      </c>
      <c r="U56">
        <f t="shared" si="0"/>
        <v>133</v>
      </c>
    </row>
    <row r="57" spans="1:21" x14ac:dyDescent="0.25">
      <c r="A57" s="21">
        <v>302430049</v>
      </c>
      <c r="B57" s="7" t="s">
        <v>133</v>
      </c>
      <c r="C57" s="8" t="s">
        <v>21</v>
      </c>
      <c r="D57" s="7" t="s">
        <v>91</v>
      </c>
      <c r="E57" s="7" t="s">
        <v>92</v>
      </c>
      <c r="F57" s="7">
        <v>920001000</v>
      </c>
      <c r="G57" s="7" t="s">
        <v>93</v>
      </c>
      <c r="H57" s="7">
        <v>410000011</v>
      </c>
      <c r="I57" s="7" t="s">
        <v>94</v>
      </c>
      <c r="J57" s="9">
        <v>40200</v>
      </c>
      <c r="K57" s="10">
        <v>238</v>
      </c>
      <c r="L57" s="11" t="s">
        <v>33</v>
      </c>
      <c r="M57" s="8">
        <v>29</v>
      </c>
      <c r="N57" s="8">
        <v>28</v>
      </c>
      <c r="O57" s="8">
        <v>57</v>
      </c>
      <c r="P57" s="12">
        <v>0.42</v>
      </c>
      <c r="Q57" s="13">
        <v>34200</v>
      </c>
      <c r="R57" s="10">
        <v>3</v>
      </c>
      <c r="S57" s="10">
        <v>6</v>
      </c>
      <c r="T57" s="10">
        <v>0</v>
      </c>
      <c r="U57">
        <f t="shared" si="0"/>
        <v>241</v>
      </c>
    </row>
    <row r="58" spans="1:21" x14ac:dyDescent="0.25">
      <c r="A58" s="21">
        <v>303740083</v>
      </c>
      <c r="B58" s="7" t="s">
        <v>134</v>
      </c>
      <c r="C58" s="8" t="s">
        <v>21</v>
      </c>
      <c r="D58" s="7" t="s">
        <v>29</v>
      </c>
      <c r="E58" s="7" t="s">
        <v>118</v>
      </c>
      <c r="F58" s="7">
        <v>300710002</v>
      </c>
      <c r="G58" s="7" t="s">
        <v>119</v>
      </c>
      <c r="H58" s="7">
        <v>300310001</v>
      </c>
      <c r="I58" s="7" t="s">
        <v>32</v>
      </c>
      <c r="J58" s="9">
        <v>305000</v>
      </c>
      <c r="K58" s="10">
        <v>18</v>
      </c>
      <c r="L58" s="11" t="s">
        <v>26</v>
      </c>
      <c r="M58" s="8">
        <v>105</v>
      </c>
      <c r="N58" s="8">
        <v>25</v>
      </c>
      <c r="O58" s="8">
        <v>130</v>
      </c>
      <c r="P58" s="12">
        <v>0.68</v>
      </c>
      <c r="Q58" s="13">
        <v>130000</v>
      </c>
      <c r="R58" s="10">
        <v>20</v>
      </c>
      <c r="S58" s="10">
        <v>15</v>
      </c>
      <c r="T58" s="10">
        <v>5</v>
      </c>
      <c r="U58">
        <f t="shared" si="0"/>
        <v>18</v>
      </c>
    </row>
    <row r="59" spans="1:21" x14ac:dyDescent="0.25">
      <c r="A59" s="21">
        <v>307330045</v>
      </c>
      <c r="B59" s="7" t="s">
        <v>135</v>
      </c>
      <c r="C59" s="8" t="s">
        <v>21</v>
      </c>
      <c r="D59" s="7" t="s">
        <v>29</v>
      </c>
      <c r="E59" s="7" t="s">
        <v>30</v>
      </c>
      <c r="F59" s="7">
        <v>92200201</v>
      </c>
      <c r="G59" s="7" t="s">
        <v>31</v>
      </c>
      <c r="H59" s="7">
        <v>300310001</v>
      </c>
      <c r="I59" s="7" t="s">
        <v>32</v>
      </c>
      <c r="J59" s="9">
        <v>215800</v>
      </c>
      <c r="K59" s="10">
        <v>52</v>
      </c>
      <c r="L59" s="11" t="s">
        <v>26</v>
      </c>
      <c r="M59" s="8">
        <v>75</v>
      </c>
      <c r="N59" s="8">
        <v>14</v>
      </c>
      <c r="O59" s="8">
        <v>89</v>
      </c>
      <c r="P59" s="12">
        <v>0.81</v>
      </c>
      <c r="Q59" s="13">
        <v>106800</v>
      </c>
      <c r="R59" s="10">
        <v>15</v>
      </c>
      <c r="S59" s="10">
        <v>12</v>
      </c>
      <c r="T59" s="10">
        <v>3</v>
      </c>
      <c r="U59">
        <f t="shared" si="0"/>
        <v>44</v>
      </c>
    </row>
    <row r="60" spans="1:21" x14ac:dyDescent="0.25">
      <c r="A60" s="21">
        <v>307330078</v>
      </c>
      <c r="B60" s="7" t="s">
        <v>136</v>
      </c>
      <c r="C60" s="8" t="s">
        <v>21</v>
      </c>
      <c r="D60" s="7" t="s">
        <v>137</v>
      </c>
      <c r="E60" s="7" t="s">
        <v>138</v>
      </c>
      <c r="F60" s="7">
        <v>92000154</v>
      </c>
      <c r="G60" s="7" t="s">
        <v>139</v>
      </c>
      <c r="H60" s="7">
        <v>302010269</v>
      </c>
      <c r="I60" s="7" t="s">
        <v>140</v>
      </c>
      <c r="J60" s="9">
        <v>127800</v>
      </c>
      <c r="K60" s="10">
        <v>129</v>
      </c>
      <c r="L60" s="11" t="s">
        <v>26</v>
      </c>
      <c r="M60" s="8">
        <v>37</v>
      </c>
      <c r="N60" s="8">
        <v>24</v>
      </c>
      <c r="O60" s="8">
        <v>61</v>
      </c>
      <c r="P60" s="12">
        <v>0.53</v>
      </c>
      <c r="Q60" s="13">
        <v>48800</v>
      </c>
      <c r="R60" s="10">
        <v>6</v>
      </c>
      <c r="S60" s="10">
        <v>1</v>
      </c>
      <c r="T60" s="10">
        <v>5</v>
      </c>
      <c r="U60">
        <f t="shared" si="0"/>
        <v>196</v>
      </c>
    </row>
    <row r="61" spans="1:21" x14ac:dyDescent="0.25">
      <c r="A61" s="21">
        <v>309030103</v>
      </c>
      <c r="B61" s="7" t="s">
        <v>141</v>
      </c>
      <c r="C61" s="8" t="s">
        <v>21</v>
      </c>
      <c r="D61" s="7" t="s">
        <v>137</v>
      </c>
      <c r="E61" s="7" t="s">
        <v>142</v>
      </c>
      <c r="F61" s="7">
        <v>92000112</v>
      </c>
      <c r="G61" s="7" t="s">
        <v>143</v>
      </c>
      <c r="H61" s="7">
        <v>302010269</v>
      </c>
      <c r="I61" s="7" t="s">
        <v>140</v>
      </c>
      <c r="J61" s="9">
        <v>116800</v>
      </c>
      <c r="K61" s="10">
        <v>142</v>
      </c>
      <c r="L61" s="11" t="s">
        <v>26</v>
      </c>
      <c r="M61" s="8">
        <v>36</v>
      </c>
      <c r="N61" s="8">
        <v>35</v>
      </c>
      <c r="O61" s="8">
        <v>71</v>
      </c>
      <c r="P61" s="12">
        <v>0.55000000000000004</v>
      </c>
      <c r="Q61" s="13">
        <v>56800</v>
      </c>
      <c r="R61" s="10">
        <v>7</v>
      </c>
      <c r="S61" s="10">
        <v>3</v>
      </c>
      <c r="T61" s="10">
        <v>4</v>
      </c>
      <c r="U61">
        <f t="shared" si="0"/>
        <v>182</v>
      </c>
    </row>
    <row r="62" spans="1:21" x14ac:dyDescent="0.25">
      <c r="A62" s="21">
        <v>309430060</v>
      </c>
      <c r="B62" s="7" t="s">
        <v>144</v>
      </c>
      <c r="C62" s="8" t="s">
        <v>21</v>
      </c>
      <c r="D62" s="7" t="s">
        <v>137</v>
      </c>
      <c r="E62" s="7" t="s">
        <v>138</v>
      </c>
      <c r="F62" s="7">
        <v>92000154</v>
      </c>
      <c r="G62" s="7" t="s">
        <v>139</v>
      </c>
      <c r="H62" s="7">
        <v>302010269</v>
      </c>
      <c r="I62" s="7" t="s">
        <v>140</v>
      </c>
      <c r="J62" s="9">
        <v>68000</v>
      </c>
      <c r="K62" s="10">
        <v>208</v>
      </c>
      <c r="L62" s="11" t="s">
        <v>33</v>
      </c>
      <c r="M62" s="8">
        <v>36</v>
      </c>
      <c r="N62" s="8">
        <v>17</v>
      </c>
      <c r="O62" s="8">
        <v>53</v>
      </c>
      <c r="P62" s="12">
        <v>0.65</v>
      </c>
      <c r="Q62" s="13">
        <v>53000</v>
      </c>
      <c r="R62" s="10">
        <v>5</v>
      </c>
      <c r="S62" s="10">
        <v>2</v>
      </c>
      <c r="T62" s="10">
        <v>3</v>
      </c>
      <c r="U62">
        <f t="shared" si="0"/>
        <v>207</v>
      </c>
    </row>
    <row r="63" spans="1:21" x14ac:dyDescent="0.25">
      <c r="A63" s="21">
        <v>340000</v>
      </c>
      <c r="B63" s="7" t="s">
        <v>145</v>
      </c>
      <c r="C63" s="8" t="s">
        <v>21</v>
      </c>
      <c r="D63" s="7" t="s">
        <v>29</v>
      </c>
      <c r="E63" s="7" t="s">
        <v>115</v>
      </c>
      <c r="F63" s="7">
        <v>93000108</v>
      </c>
      <c r="G63" s="7" t="s">
        <v>116</v>
      </c>
      <c r="H63" s="7">
        <v>300310001</v>
      </c>
      <c r="I63" s="7" t="s">
        <v>32</v>
      </c>
      <c r="J63" s="9">
        <v>109000</v>
      </c>
      <c r="K63" s="10">
        <v>161</v>
      </c>
      <c r="L63" s="11" t="s">
        <v>26</v>
      </c>
      <c r="M63" s="8">
        <v>17</v>
      </c>
      <c r="N63" s="8">
        <v>53</v>
      </c>
      <c r="O63" s="8">
        <v>70</v>
      </c>
      <c r="P63" s="12">
        <v>0.81</v>
      </c>
      <c r="Q63" s="13">
        <v>84000</v>
      </c>
      <c r="R63" s="10">
        <v>11</v>
      </c>
      <c r="S63" s="10">
        <v>10</v>
      </c>
      <c r="T63" s="10">
        <v>1</v>
      </c>
      <c r="U63">
        <f t="shared" si="0"/>
        <v>100</v>
      </c>
    </row>
    <row r="64" spans="1:21" x14ac:dyDescent="0.25">
      <c r="A64" s="21">
        <v>340001</v>
      </c>
      <c r="B64" s="7" t="s">
        <v>146</v>
      </c>
      <c r="C64" s="8" t="s">
        <v>21</v>
      </c>
      <c r="D64" s="7" t="s">
        <v>29</v>
      </c>
      <c r="E64" s="7" t="s">
        <v>115</v>
      </c>
      <c r="F64" s="7">
        <v>93000108</v>
      </c>
      <c r="G64" s="7" t="s">
        <v>116</v>
      </c>
      <c r="H64" s="7">
        <v>300310001</v>
      </c>
      <c r="I64" s="7" t="s">
        <v>32</v>
      </c>
      <c r="J64" s="9">
        <v>211000</v>
      </c>
      <c r="K64" s="10">
        <v>55</v>
      </c>
      <c r="L64" s="11" t="s">
        <v>26</v>
      </c>
      <c r="M64" s="8">
        <v>53</v>
      </c>
      <c r="N64" s="8">
        <v>17</v>
      </c>
      <c r="O64" s="8">
        <v>70</v>
      </c>
      <c r="P64" s="12">
        <v>0.84</v>
      </c>
      <c r="Q64" s="13">
        <v>84000</v>
      </c>
      <c r="R64" s="10">
        <v>11</v>
      </c>
      <c r="S64" s="10">
        <v>6</v>
      </c>
      <c r="T64" s="10">
        <v>5</v>
      </c>
      <c r="U64">
        <f t="shared" si="0"/>
        <v>109</v>
      </c>
    </row>
    <row r="65" spans="1:21" x14ac:dyDescent="0.25">
      <c r="A65" s="21">
        <v>3500000008</v>
      </c>
      <c r="B65" s="7" t="s">
        <v>147</v>
      </c>
      <c r="C65" s="8" t="s">
        <v>21</v>
      </c>
      <c r="D65" s="7" t="s">
        <v>50</v>
      </c>
      <c r="E65" s="7" t="s">
        <v>148</v>
      </c>
      <c r="F65" s="7">
        <v>350129</v>
      </c>
      <c r="G65" s="7" t="s">
        <v>149</v>
      </c>
      <c r="H65" s="7">
        <v>410000010</v>
      </c>
      <c r="I65" s="7" t="s">
        <v>53</v>
      </c>
      <c r="J65" s="9">
        <v>114800</v>
      </c>
      <c r="K65" s="10">
        <v>146</v>
      </c>
      <c r="L65" s="11" t="s">
        <v>26</v>
      </c>
      <c r="M65" s="8">
        <v>43</v>
      </c>
      <c r="N65" s="8">
        <v>20</v>
      </c>
      <c r="O65" s="8">
        <v>63</v>
      </c>
      <c r="P65" s="12">
        <v>0.46</v>
      </c>
      <c r="Q65" s="13">
        <v>37800</v>
      </c>
      <c r="R65" s="10">
        <v>9</v>
      </c>
      <c r="S65" s="10">
        <v>6</v>
      </c>
      <c r="T65" s="10">
        <v>3</v>
      </c>
      <c r="U65">
        <f t="shared" si="0"/>
        <v>150</v>
      </c>
    </row>
    <row r="66" spans="1:21" x14ac:dyDescent="0.25">
      <c r="A66" s="21">
        <v>350000001</v>
      </c>
      <c r="B66" s="7" t="s">
        <v>150</v>
      </c>
      <c r="C66" s="8" t="s">
        <v>21</v>
      </c>
      <c r="D66" s="7" t="s">
        <v>50</v>
      </c>
      <c r="E66" s="7" t="s">
        <v>148</v>
      </c>
      <c r="F66" s="7">
        <v>350129</v>
      </c>
      <c r="G66" s="7" t="s">
        <v>149</v>
      </c>
      <c r="H66" s="7">
        <v>410000010</v>
      </c>
      <c r="I66" s="7" t="s">
        <v>53</v>
      </c>
      <c r="J66" s="9">
        <v>31600</v>
      </c>
      <c r="K66" s="10">
        <v>247</v>
      </c>
      <c r="L66" s="11" t="s">
        <v>33</v>
      </c>
      <c r="M66" s="8">
        <v>24</v>
      </c>
      <c r="N66" s="8">
        <v>17</v>
      </c>
      <c r="O66" s="8">
        <v>41</v>
      </c>
      <c r="P66" s="12">
        <v>0.42</v>
      </c>
      <c r="Q66" s="13">
        <v>24600</v>
      </c>
      <c r="R66" s="10">
        <v>3</v>
      </c>
      <c r="S66" s="10">
        <v>2</v>
      </c>
      <c r="T66" s="10">
        <v>1</v>
      </c>
      <c r="U66">
        <f t="shared" ref="U66:U129" si="1">_xlfn.RANK.EQ(R66,$R$2:$R$309,0)
 + COUNTIFS($R$2:$R$309,R66,$B$2:$B$309,"&lt;"&amp;B66)</f>
        <v>237</v>
      </c>
    </row>
    <row r="67" spans="1:21" x14ac:dyDescent="0.25">
      <c r="A67" s="21">
        <v>3500000011</v>
      </c>
      <c r="B67" s="7" t="s">
        <v>151</v>
      </c>
      <c r="C67" s="8" t="s">
        <v>21</v>
      </c>
      <c r="D67" s="7" t="s">
        <v>50</v>
      </c>
      <c r="E67" s="7" t="s">
        <v>152</v>
      </c>
      <c r="F67" s="7">
        <v>350020</v>
      </c>
      <c r="G67" s="7" t="s">
        <v>153</v>
      </c>
      <c r="H67" s="7">
        <v>410000010</v>
      </c>
      <c r="I67" s="7" t="s">
        <v>53</v>
      </c>
      <c r="J67" s="9">
        <v>267600</v>
      </c>
      <c r="K67" s="10">
        <v>30</v>
      </c>
      <c r="L67" s="11" t="s">
        <v>26</v>
      </c>
      <c r="M67" s="8">
        <v>131</v>
      </c>
      <c r="N67" s="8">
        <v>16</v>
      </c>
      <c r="O67" s="8">
        <v>147</v>
      </c>
      <c r="P67" s="12">
        <v>0.57999999999999996</v>
      </c>
      <c r="Q67" s="13">
        <v>117600</v>
      </c>
      <c r="R67" s="10">
        <v>11</v>
      </c>
      <c r="S67" s="10">
        <v>5</v>
      </c>
      <c r="T67" s="10">
        <v>6</v>
      </c>
      <c r="U67">
        <f t="shared" si="1"/>
        <v>107</v>
      </c>
    </row>
    <row r="68" spans="1:21" x14ac:dyDescent="0.25">
      <c r="A68" s="21">
        <v>350000002</v>
      </c>
      <c r="B68" s="7" t="s">
        <v>154</v>
      </c>
      <c r="C68" s="8" t="s">
        <v>21</v>
      </c>
      <c r="D68" s="7" t="s">
        <v>50</v>
      </c>
      <c r="E68" s="7" t="s">
        <v>56</v>
      </c>
      <c r="F68" s="7">
        <v>350032</v>
      </c>
      <c r="G68" s="7" t="s">
        <v>57</v>
      </c>
      <c r="H68" s="7">
        <v>410000010</v>
      </c>
      <c r="I68" s="7" t="s">
        <v>53</v>
      </c>
      <c r="J68" s="9">
        <v>51000</v>
      </c>
      <c r="K68" s="10">
        <v>223</v>
      </c>
      <c r="L68" s="11" t="s">
        <v>33</v>
      </c>
      <c r="M68" s="8">
        <v>15</v>
      </c>
      <c r="N68" s="8">
        <v>15</v>
      </c>
      <c r="O68" s="8">
        <v>30</v>
      </c>
      <c r="P68" s="12">
        <v>0.71</v>
      </c>
      <c r="Q68" s="13">
        <v>36000</v>
      </c>
      <c r="R68" s="10">
        <v>3</v>
      </c>
      <c r="S68" s="10">
        <v>2</v>
      </c>
      <c r="T68" s="10">
        <v>1</v>
      </c>
      <c r="U68">
        <f t="shared" si="1"/>
        <v>247</v>
      </c>
    </row>
    <row r="69" spans="1:21" x14ac:dyDescent="0.25">
      <c r="A69" s="21">
        <v>350000003</v>
      </c>
      <c r="B69" s="7" t="s">
        <v>155</v>
      </c>
      <c r="C69" s="8" t="s">
        <v>21</v>
      </c>
      <c r="D69" s="7" t="s">
        <v>50</v>
      </c>
      <c r="E69" s="7" t="s">
        <v>56</v>
      </c>
      <c r="F69" s="7">
        <v>350032</v>
      </c>
      <c r="G69" s="7" t="s">
        <v>57</v>
      </c>
      <c r="H69" s="7">
        <v>410000010</v>
      </c>
      <c r="I69" s="7" t="s">
        <v>53</v>
      </c>
      <c r="J69" s="9">
        <v>141400</v>
      </c>
      <c r="K69" s="10">
        <v>107</v>
      </c>
      <c r="L69" s="11" t="s">
        <v>26</v>
      </c>
      <c r="M69" s="8">
        <v>66</v>
      </c>
      <c r="N69" s="8">
        <v>31</v>
      </c>
      <c r="O69" s="8">
        <v>97</v>
      </c>
      <c r="P69" s="12">
        <v>0.71</v>
      </c>
      <c r="Q69" s="13">
        <v>116400</v>
      </c>
      <c r="R69" s="10">
        <v>4</v>
      </c>
      <c r="S69" s="10">
        <v>3</v>
      </c>
      <c r="T69" s="10">
        <v>1</v>
      </c>
      <c r="U69">
        <f t="shared" si="1"/>
        <v>232</v>
      </c>
    </row>
    <row r="70" spans="1:21" x14ac:dyDescent="0.25">
      <c r="A70" s="21">
        <v>350000005</v>
      </c>
      <c r="B70" s="7" t="s">
        <v>156</v>
      </c>
      <c r="C70" s="8" t="s">
        <v>21</v>
      </c>
      <c r="D70" s="7" t="s">
        <v>50</v>
      </c>
      <c r="E70" s="7" t="s">
        <v>148</v>
      </c>
      <c r="F70" s="7">
        <v>350129</v>
      </c>
      <c r="G70" s="7" t="s">
        <v>149</v>
      </c>
      <c r="H70" s="7">
        <v>410000010</v>
      </c>
      <c r="I70" s="7" t="s">
        <v>53</v>
      </c>
      <c r="J70" s="9">
        <v>218400</v>
      </c>
      <c r="K70" s="10">
        <v>47</v>
      </c>
      <c r="L70" s="11" t="s">
        <v>26</v>
      </c>
      <c r="M70" s="8">
        <v>60</v>
      </c>
      <c r="N70" s="8">
        <v>38</v>
      </c>
      <c r="O70" s="8">
        <v>98</v>
      </c>
      <c r="P70" s="12">
        <v>0.51</v>
      </c>
      <c r="Q70" s="13">
        <v>78400</v>
      </c>
      <c r="R70" s="10">
        <v>9</v>
      </c>
      <c r="S70" s="10">
        <v>5</v>
      </c>
      <c r="T70" s="10">
        <v>4</v>
      </c>
      <c r="U70">
        <f t="shared" si="1"/>
        <v>152</v>
      </c>
    </row>
    <row r="71" spans="1:21" x14ac:dyDescent="0.25">
      <c r="A71" s="21">
        <v>350000007</v>
      </c>
      <c r="B71" s="7" t="s">
        <v>157</v>
      </c>
      <c r="C71" s="8" t="s">
        <v>21</v>
      </c>
      <c r="D71" s="7" t="s">
        <v>50</v>
      </c>
      <c r="E71" s="7" t="s">
        <v>148</v>
      </c>
      <c r="F71" s="7">
        <v>350129</v>
      </c>
      <c r="G71" s="7" t="s">
        <v>149</v>
      </c>
      <c r="H71" s="7">
        <v>410000010</v>
      </c>
      <c r="I71" s="7" t="s">
        <v>53</v>
      </c>
      <c r="J71" s="9">
        <v>24600</v>
      </c>
      <c r="K71" s="10">
        <v>252</v>
      </c>
      <c r="L71" s="11" t="s">
        <v>33</v>
      </c>
      <c r="M71" s="8">
        <v>23</v>
      </c>
      <c r="N71" s="8">
        <v>18</v>
      </c>
      <c r="O71" s="8">
        <v>41</v>
      </c>
      <c r="P71" s="12">
        <v>0.47</v>
      </c>
      <c r="Q71" s="13">
        <v>24600</v>
      </c>
      <c r="R71" s="10">
        <v>2</v>
      </c>
      <c r="S71" s="10">
        <v>6</v>
      </c>
      <c r="T71" s="10">
        <v>0</v>
      </c>
      <c r="U71">
        <f t="shared" si="1"/>
        <v>259</v>
      </c>
    </row>
    <row r="72" spans="1:21" x14ac:dyDescent="0.25">
      <c r="A72" s="21">
        <v>350000009</v>
      </c>
      <c r="B72" s="7" t="s">
        <v>158</v>
      </c>
      <c r="C72" s="8" t="s">
        <v>21</v>
      </c>
      <c r="D72" s="7" t="s">
        <v>50</v>
      </c>
      <c r="E72" s="7" t="s">
        <v>152</v>
      </c>
      <c r="F72" s="7">
        <v>350020</v>
      </c>
      <c r="G72" s="7" t="s">
        <v>153</v>
      </c>
      <c r="H72" s="7">
        <v>410000010</v>
      </c>
      <c r="I72" s="7" t="s">
        <v>53</v>
      </c>
      <c r="J72" s="9">
        <v>101000</v>
      </c>
      <c r="K72" s="10">
        <v>173</v>
      </c>
      <c r="L72" s="11" t="s">
        <v>26</v>
      </c>
      <c r="M72" s="8">
        <v>55</v>
      </c>
      <c r="N72" s="8">
        <v>20</v>
      </c>
      <c r="O72" s="8">
        <v>75</v>
      </c>
      <c r="P72" s="12">
        <v>0.47</v>
      </c>
      <c r="Q72" s="13">
        <v>45000</v>
      </c>
      <c r="R72" s="10">
        <v>8</v>
      </c>
      <c r="S72" s="10">
        <v>6</v>
      </c>
      <c r="T72" s="10">
        <v>2</v>
      </c>
      <c r="U72">
        <f t="shared" si="1"/>
        <v>158</v>
      </c>
    </row>
    <row r="73" spans="1:21" x14ac:dyDescent="0.25">
      <c r="A73" s="21">
        <v>350000010</v>
      </c>
      <c r="B73" s="7" t="s">
        <v>159</v>
      </c>
      <c r="C73" s="8" t="s">
        <v>21</v>
      </c>
      <c r="D73" s="7" t="s">
        <v>50</v>
      </c>
      <c r="E73" s="7" t="s">
        <v>152</v>
      </c>
      <c r="F73" s="7">
        <v>350020</v>
      </c>
      <c r="G73" s="7" t="s">
        <v>153</v>
      </c>
      <c r="H73" s="7">
        <v>410000010</v>
      </c>
      <c r="I73" s="7" t="s">
        <v>53</v>
      </c>
      <c r="J73" s="9">
        <v>179000</v>
      </c>
      <c r="K73" s="10">
        <v>71</v>
      </c>
      <c r="L73" s="11" t="s">
        <v>26</v>
      </c>
      <c r="M73" s="8">
        <v>69</v>
      </c>
      <c r="N73" s="8">
        <v>32</v>
      </c>
      <c r="O73" s="8">
        <v>101</v>
      </c>
      <c r="P73" s="12">
        <v>0.6</v>
      </c>
      <c r="Q73" s="13">
        <v>101000</v>
      </c>
      <c r="R73" s="10">
        <v>9</v>
      </c>
      <c r="S73" s="10">
        <v>7</v>
      </c>
      <c r="T73" s="10">
        <v>2</v>
      </c>
      <c r="U73">
        <f t="shared" si="1"/>
        <v>140</v>
      </c>
    </row>
    <row r="74" spans="1:21" x14ac:dyDescent="0.25">
      <c r="A74" s="21">
        <v>350005</v>
      </c>
      <c r="B74" s="7" t="s">
        <v>160</v>
      </c>
      <c r="C74" s="8" t="s">
        <v>21</v>
      </c>
      <c r="D74" s="7" t="s">
        <v>50</v>
      </c>
      <c r="E74" s="7" t="s">
        <v>51</v>
      </c>
      <c r="F74" s="7">
        <v>350032</v>
      </c>
      <c r="G74" s="7" t="s">
        <v>57</v>
      </c>
      <c r="H74" s="7">
        <v>410000010</v>
      </c>
      <c r="I74" s="7" t="s">
        <v>53</v>
      </c>
      <c r="J74" s="9">
        <v>100200</v>
      </c>
      <c r="K74" s="10">
        <v>174</v>
      </c>
      <c r="L74" s="11" t="s">
        <v>26</v>
      </c>
      <c r="M74" s="8">
        <v>28</v>
      </c>
      <c r="N74" s="8">
        <v>29</v>
      </c>
      <c r="O74" s="8">
        <v>57</v>
      </c>
      <c r="P74" s="12">
        <v>0.45</v>
      </c>
      <c r="Q74" s="13">
        <v>34200</v>
      </c>
      <c r="R74" s="10">
        <v>7</v>
      </c>
      <c r="S74" s="10">
        <v>3</v>
      </c>
      <c r="T74" s="10">
        <v>4</v>
      </c>
      <c r="U74">
        <f t="shared" si="1"/>
        <v>174</v>
      </c>
    </row>
    <row r="75" spans="1:21" x14ac:dyDescent="0.25">
      <c r="A75" s="21">
        <v>350015</v>
      </c>
      <c r="B75" s="7" t="s">
        <v>161</v>
      </c>
      <c r="C75" s="8" t="s">
        <v>21</v>
      </c>
      <c r="D75" s="7" t="s">
        <v>50</v>
      </c>
      <c r="E75" s="7" t="s">
        <v>51</v>
      </c>
      <c r="F75" s="7">
        <v>350032</v>
      </c>
      <c r="G75" s="7" t="s">
        <v>57</v>
      </c>
      <c r="H75" s="7">
        <v>410000010</v>
      </c>
      <c r="I75" s="7" t="s">
        <v>53</v>
      </c>
      <c r="J75" s="9">
        <v>113200</v>
      </c>
      <c r="K75" s="10">
        <v>151</v>
      </c>
      <c r="L75" s="11" t="s">
        <v>26</v>
      </c>
      <c r="M75" s="8">
        <v>35</v>
      </c>
      <c r="N75" s="8">
        <v>22</v>
      </c>
      <c r="O75" s="8">
        <v>57</v>
      </c>
      <c r="P75" s="12">
        <v>0.46</v>
      </c>
      <c r="Q75" s="13">
        <v>34200</v>
      </c>
      <c r="R75" s="10">
        <v>7</v>
      </c>
      <c r="S75" s="10">
        <v>2</v>
      </c>
      <c r="T75" s="10">
        <v>5</v>
      </c>
      <c r="U75">
        <f t="shared" si="1"/>
        <v>176</v>
      </c>
    </row>
    <row r="76" spans="1:21" x14ac:dyDescent="0.25">
      <c r="A76" s="21">
        <v>350057</v>
      </c>
      <c r="B76" s="7" t="s">
        <v>162</v>
      </c>
      <c r="C76" s="8" t="s">
        <v>21</v>
      </c>
      <c r="D76" s="7" t="s">
        <v>50</v>
      </c>
      <c r="E76" s="7" t="s">
        <v>51</v>
      </c>
      <c r="F76" s="7">
        <v>350032</v>
      </c>
      <c r="G76" s="7" t="s">
        <v>57</v>
      </c>
      <c r="H76" s="7">
        <v>410000010</v>
      </c>
      <c r="I76" s="7" t="s">
        <v>53</v>
      </c>
      <c r="J76" s="9">
        <v>60200</v>
      </c>
      <c r="K76" s="10">
        <v>218</v>
      </c>
      <c r="L76" s="11" t="s">
        <v>33</v>
      </c>
      <c r="M76" s="8">
        <v>31</v>
      </c>
      <c r="N76" s="8">
        <v>16</v>
      </c>
      <c r="O76" s="8">
        <v>47</v>
      </c>
      <c r="P76" s="12">
        <v>0.45</v>
      </c>
      <c r="Q76" s="13">
        <v>28200</v>
      </c>
      <c r="R76" s="10">
        <v>4</v>
      </c>
      <c r="S76" s="10">
        <v>2</v>
      </c>
      <c r="T76" s="10">
        <v>2</v>
      </c>
      <c r="U76">
        <f t="shared" si="1"/>
        <v>228</v>
      </c>
    </row>
    <row r="77" spans="1:21" x14ac:dyDescent="0.25">
      <c r="A77" s="21">
        <v>350065</v>
      </c>
      <c r="B77" s="7" t="s">
        <v>163</v>
      </c>
      <c r="C77" s="8" t="s">
        <v>21</v>
      </c>
      <c r="D77" s="7" t="s">
        <v>50</v>
      </c>
      <c r="E77" s="7" t="s">
        <v>51</v>
      </c>
      <c r="F77" s="7">
        <v>91000115</v>
      </c>
      <c r="G77" s="7" t="s">
        <v>52</v>
      </c>
      <c r="H77" s="7">
        <v>410000010</v>
      </c>
      <c r="I77" s="7" t="s">
        <v>53</v>
      </c>
      <c r="J77" s="9">
        <v>224800</v>
      </c>
      <c r="K77" s="10">
        <v>43</v>
      </c>
      <c r="L77" s="11" t="s">
        <v>26</v>
      </c>
      <c r="M77" s="8">
        <v>61</v>
      </c>
      <c r="N77" s="8">
        <v>8</v>
      </c>
      <c r="O77" s="8">
        <v>69</v>
      </c>
      <c r="P77" s="12">
        <v>0.77</v>
      </c>
      <c r="Q77" s="13">
        <v>82800</v>
      </c>
      <c r="R77" s="10">
        <v>13</v>
      </c>
      <c r="S77" s="10">
        <v>9</v>
      </c>
      <c r="T77" s="10">
        <v>4</v>
      </c>
      <c r="U77">
        <f t="shared" si="1"/>
        <v>77</v>
      </c>
    </row>
    <row r="78" spans="1:21" x14ac:dyDescent="0.25">
      <c r="A78" s="21">
        <v>380007</v>
      </c>
      <c r="B78" s="7" t="s">
        <v>164</v>
      </c>
      <c r="C78" s="8" t="s">
        <v>21</v>
      </c>
      <c r="D78" s="7" t="s">
        <v>96</v>
      </c>
      <c r="E78" s="7" t="s">
        <v>165</v>
      </c>
      <c r="F78" s="7">
        <v>380025</v>
      </c>
      <c r="G78" s="7" t="s">
        <v>166</v>
      </c>
      <c r="H78" s="7">
        <v>300910002</v>
      </c>
      <c r="I78" s="7" t="s">
        <v>99</v>
      </c>
      <c r="J78" s="9">
        <v>46000</v>
      </c>
      <c r="K78" s="10">
        <v>231</v>
      </c>
      <c r="L78" s="11" t="s">
        <v>33</v>
      </c>
      <c r="M78" s="8">
        <v>28</v>
      </c>
      <c r="N78" s="8">
        <v>27</v>
      </c>
      <c r="O78" s="8">
        <v>55</v>
      </c>
      <c r="P78" s="12">
        <v>0.53</v>
      </c>
      <c r="Q78" s="13">
        <v>44000</v>
      </c>
      <c r="R78" s="10">
        <v>3</v>
      </c>
      <c r="S78" s="10">
        <v>11</v>
      </c>
      <c r="T78" s="10">
        <v>0</v>
      </c>
      <c r="U78">
        <f t="shared" si="1"/>
        <v>244</v>
      </c>
    </row>
    <row r="79" spans="1:21" x14ac:dyDescent="0.25">
      <c r="A79" s="21">
        <v>380011</v>
      </c>
      <c r="B79" s="7" t="s">
        <v>167</v>
      </c>
      <c r="C79" s="8" t="s">
        <v>21</v>
      </c>
      <c r="D79" s="7" t="s">
        <v>96</v>
      </c>
      <c r="E79" s="7" t="s">
        <v>165</v>
      </c>
      <c r="F79" s="7">
        <v>380025</v>
      </c>
      <c r="G79" s="7" t="s">
        <v>166</v>
      </c>
      <c r="H79" s="7">
        <v>300910002</v>
      </c>
      <c r="I79" s="7" t="s">
        <v>99</v>
      </c>
      <c r="J79" s="9">
        <v>111600</v>
      </c>
      <c r="K79" s="10">
        <v>157</v>
      </c>
      <c r="L79" s="11" t="s">
        <v>26</v>
      </c>
      <c r="M79" s="8">
        <v>69</v>
      </c>
      <c r="N79" s="8">
        <v>24</v>
      </c>
      <c r="O79" s="8">
        <v>93</v>
      </c>
      <c r="P79" s="12">
        <v>0.72</v>
      </c>
      <c r="Q79" s="13">
        <v>111600</v>
      </c>
      <c r="R79" s="10">
        <v>9</v>
      </c>
      <c r="S79" s="10">
        <v>13</v>
      </c>
      <c r="T79" s="10">
        <v>0</v>
      </c>
      <c r="U79">
        <f t="shared" si="1"/>
        <v>146</v>
      </c>
    </row>
    <row r="80" spans="1:21" x14ac:dyDescent="0.25">
      <c r="A80" s="21">
        <v>380028</v>
      </c>
      <c r="B80" s="7" t="s">
        <v>168</v>
      </c>
      <c r="C80" s="8" t="s">
        <v>21</v>
      </c>
      <c r="D80" s="7" t="s">
        <v>96</v>
      </c>
      <c r="E80" s="7" t="s">
        <v>165</v>
      </c>
      <c r="F80" s="7">
        <v>380025</v>
      </c>
      <c r="G80" s="7" t="s">
        <v>166</v>
      </c>
      <c r="H80" s="7">
        <v>300910002</v>
      </c>
      <c r="I80" s="7" t="s">
        <v>99</v>
      </c>
      <c r="J80" s="9">
        <v>78000</v>
      </c>
      <c r="K80" s="10">
        <v>196</v>
      </c>
      <c r="L80" s="11" t="s">
        <v>33</v>
      </c>
      <c r="M80" s="8">
        <v>42</v>
      </c>
      <c r="N80" s="8">
        <v>18</v>
      </c>
      <c r="O80" s="8">
        <v>60</v>
      </c>
      <c r="P80" s="12">
        <v>0.74</v>
      </c>
      <c r="Q80" s="13">
        <v>72000</v>
      </c>
      <c r="R80" s="10">
        <v>6</v>
      </c>
      <c r="S80" s="10">
        <v>8</v>
      </c>
      <c r="T80" s="10">
        <v>0</v>
      </c>
      <c r="U80">
        <f t="shared" si="1"/>
        <v>203</v>
      </c>
    </row>
    <row r="81" spans="1:21" x14ac:dyDescent="0.25">
      <c r="A81" s="21">
        <v>380041</v>
      </c>
      <c r="B81" s="7" t="s">
        <v>169</v>
      </c>
      <c r="C81" s="8" t="s">
        <v>21</v>
      </c>
      <c r="D81" s="7" t="s">
        <v>96</v>
      </c>
      <c r="E81" s="7" t="s">
        <v>165</v>
      </c>
      <c r="F81" s="7">
        <v>380025</v>
      </c>
      <c r="G81" s="7" t="s">
        <v>166</v>
      </c>
      <c r="H81" s="7">
        <v>300910002</v>
      </c>
      <c r="I81" s="7" t="s">
        <v>99</v>
      </c>
      <c r="J81" s="9">
        <v>90000</v>
      </c>
      <c r="K81" s="10">
        <v>185</v>
      </c>
      <c r="L81" s="11" t="s">
        <v>33</v>
      </c>
      <c r="M81" s="8">
        <v>15</v>
      </c>
      <c r="N81" s="8">
        <v>28</v>
      </c>
      <c r="O81" s="8">
        <v>43</v>
      </c>
      <c r="P81" s="12">
        <v>0.64</v>
      </c>
      <c r="Q81" s="13">
        <v>43000</v>
      </c>
      <c r="R81" s="10">
        <v>5</v>
      </c>
      <c r="S81" s="10">
        <v>2</v>
      </c>
      <c r="T81" s="10">
        <v>3</v>
      </c>
      <c r="U81">
        <f t="shared" si="1"/>
        <v>212</v>
      </c>
    </row>
    <row r="82" spans="1:21" x14ac:dyDescent="0.25">
      <c r="A82" s="21">
        <v>380044</v>
      </c>
      <c r="B82" s="7" t="s">
        <v>170</v>
      </c>
      <c r="C82" s="8" t="s">
        <v>21</v>
      </c>
      <c r="D82" s="7" t="s">
        <v>96</v>
      </c>
      <c r="E82" s="7" t="s">
        <v>165</v>
      </c>
      <c r="F82" s="7">
        <v>380025</v>
      </c>
      <c r="G82" s="7" t="s">
        <v>166</v>
      </c>
      <c r="H82" s="7">
        <v>300910002</v>
      </c>
      <c r="I82" s="7" t="s">
        <v>99</v>
      </c>
      <c r="J82" s="9">
        <v>14000</v>
      </c>
      <c r="K82" s="10">
        <v>259</v>
      </c>
      <c r="L82" s="11" t="s">
        <v>33</v>
      </c>
      <c r="M82" s="8">
        <v>18</v>
      </c>
      <c r="N82" s="8">
        <v>51</v>
      </c>
      <c r="O82" s="8">
        <v>69</v>
      </c>
      <c r="P82" s="12">
        <v>0.4</v>
      </c>
      <c r="Q82" s="13">
        <v>0</v>
      </c>
      <c r="R82" s="10">
        <v>7</v>
      </c>
      <c r="S82" s="10">
        <v>7</v>
      </c>
      <c r="T82" s="10">
        <v>0</v>
      </c>
      <c r="U82">
        <f t="shared" si="1"/>
        <v>169</v>
      </c>
    </row>
    <row r="83" spans="1:21" x14ac:dyDescent="0.25">
      <c r="A83" s="21">
        <v>390004</v>
      </c>
      <c r="B83" s="7" t="s">
        <v>172</v>
      </c>
      <c r="C83" s="8" t="s">
        <v>21</v>
      </c>
      <c r="D83" s="7" t="s">
        <v>96</v>
      </c>
      <c r="E83" s="7" t="s">
        <v>97</v>
      </c>
      <c r="F83" s="7">
        <v>230019</v>
      </c>
      <c r="G83" s="7" t="s">
        <v>98</v>
      </c>
      <c r="H83" s="7">
        <v>300910002</v>
      </c>
      <c r="I83" s="7" t="s">
        <v>99</v>
      </c>
      <c r="J83" s="9">
        <v>278000</v>
      </c>
      <c r="K83" s="10">
        <v>25</v>
      </c>
      <c r="L83" s="11" t="s">
        <v>26</v>
      </c>
      <c r="M83" s="8">
        <v>174</v>
      </c>
      <c r="N83" s="8">
        <v>63</v>
      </c>
      <c r="O83" s="8">
        <v>237</v>
      </c>
      <c r="P83" s="12">
        <v>0.7</v>
      </c>
      <c r="Q83" s="13">
        <v>237000</v>
      </c>
      <c r="R83" s="10">
        <v>29</v>
      </c>
      <c r="S83" s="10">
        <v>28</v>
      </c>
      <c r="T83" s="10">
        <v>1</v>
      </c>
      <c r="U83">
        <f t="shared" si="1"/>
        <v>3</v>
      </c>
    </row>
    <row r="84" spans="1:21" x14ac:dyDescent="0.25">
      <c r="A84" s="21">
        <v>390008</v>
      </c>
      <c r="B84" s="7" t="s">
        <v>173</v>
      </c>
      <c r="C84" s="8" t="s">
        <v>21</v>
      </c>
      <c r="D84" s="7" t="s">
        <v>96</v>
      </c>
      <c r="E84" s="7" t="s">
        <v>97</v>
      </c>
      <c r="F84" s="7">
        <v>230019</v>
      </c>
      <c r="G84" s="7" t="s">
        <v>98</v>
      </c>
      <c r="H84" s="7">
        <v>300910002</v>
      </c>
      <c r="I84" s="7" t="s">
        <v>99</v>
      </c>
      <c r="J84" s="9">
        <v>284800</v>
      </c>
      <c r="K84" s="10">
        <v>22</v>
      </c>
      <c r="L84" s="11" t="s">
        <v>26</v>
      </c>
      <c r="M84" s="8">
        <v>85</v>
      </c>
      <c r="N84" s="8">
        <v>24</v>
      </c>
      <c r="O84" s="8">
        <v>109</v>
      </c>
      <c r="P84" s="12">
        <v>0.75</v>
      </c>
      <c r="Q84" s="13">
        <v>130800</v>
      </c>
      <c r="R84" s="10">
        <v>15</v>
      </c>
      <c r="S84" s="10">
        <v>5</v>
      </c>
      <c r="T84" s="10">
        <v>10</v>
      </c>
      <c r="U84">
        <f t="shared" si="1"/>
        <v>45</v>
      </c>
    </row>
    <row r="85" spans="1:21" x14ac:dyDescent="0.25">
      <c r="A85" s="21">
        <v>410018</v>
      </c>
      <c r="B85" s="7" t="s">
        <v>174</v>
      </c>
      <c r="C85" s="8" t="s">
        <v>21</v>
      </c>
      <c r="D85" s="7" t="s">
        <v>96</v>
      </c>
      <c r="E85" s="7" t="s">
        <v>129</v>
      </c>
      <c r="F85" s="7">
        <v>380040</v>
      </c>
      <c r="G85" s="7" t="s">
        <v>175</v>
      </c>
      <c r="H85" s="7">
        <v>300910002</v>
      </c>
      <c r="I85" s="7" t="s">
        <v>99</v>
      </c>
      <c r="J85" s="9">
        <v>88800</v>
      </c>
      <c r="K85" s="10">
        <v>186</v>
      </c>
      <c r="L85" s="11" t="s">
        <v>33</v>
      </c>
      <c r="M85" s="8">
        <v>61</v>
      </c>
      <c r="N85" s="8">
        <v>13</v>
      </c>
      <c r="O85" s="8">
        <v>74</v>
      </c>
      <c r="P85" s="12">
        <v>0.73</v>
      </c>
      <c r="Q85" s="13">
        <v>88800</v>
      </c>
      <c r="R85" s="10">
        <v>6</v>
      </c>
      <c r="S85" s="10">
        <v>13</v>
      </c>
      <c r="T85" s="10">
        <v>0</v>
      </c>
      <c r="U85">
        <f t="shared" si="1"/>
        <v>197</v>
      </c>
    </row>
    <row r="86" spans="1:21" x14ac:dyDescent="0.25">
      <c r="A86" s="21">
        <v>410032</v>
      </c>
      <c r="B86" s="7" t="s">
        <v>176</v>
      </c>
      <c r="C86" s="8" t="s">
        <v>21</v>
      </c>
      <c r="D86" s="7" t="s">
        <v>96</v>
      </c>
      <c r="E86" s="7" t="s">
        <v>129</v>
      </c>
      <c r="F86" s="7">
        <v>380040</v>
      </c>
      <c r="G86" s="7" t="s">
        <v>175</v>
      </c>
      <c r="H86" s="7">
        <v>300910002</v>
      </c>
      <c r="I86" s="7" t="s">
        <v>99</v>
      </c>
      <c r="J86" s="9">
        <v>68400</v>
      </c>
      <c r="K86" s="10">
        <v>207</v>
      </c>
      <c r="L86" s="11" t="s">
        <v>33</v>
      </c>
      <c r="M86" s="8">
        <v>60</v>
      </c>
      <c r="N86" s="8">
        <v>23</v>
      </c>
      <c r="O86" s="8">
        <v>83</v>
      </c>
      <c r="P86" s="12">
        <v>0.56000000000000005</v>
      </c>
      <c r="Q86" s="13">
        <v>66400</v>
      </c>
      <c r="R86" s="10">
        <v>8</v>
      </c>
      <c r="S86" s="10">
        <v>11</v>
      </c>
      <c r="T86" s="10">
        <v>0</v>
      </c>
      <c r="U86">
        <f t="shared" si="1"/>
        <v>154</v>
      </c>
    </row>
    <row r="87" spans="1:21" x14ac:dyDescent="0.25">
      <c r="A87" s="21">
        <v>410039</v>
      </c>
      <c r="B87" s="7" t="s">
        <v>177</v>
      </c>
      <c r="C87" s="8" t="s">
        <v>21</v>
      </c>
      <c r="D87" s="7" t="s">
        <v>96</v>
      </c>
      <c r="E87" s="7" t="s">
        <v>129</v>
      </c>
      <c r="F87" s="7">
        <v>380040</v>
      </c>
      <c r="G87" s="7" t="s">
        <v>175</v>
      </c>
      <c r="H87" s="7">
        <v>300910002</v>
      </c>
      <c r="I87" s="7" t="s">
        <v>99</v>
      </c>
      <c r="J87" s="9">
        <v>159200</v>
      </c>
      <c r="K87" s="10">
        <v>86</v>
      </c>
      <c r="L87" s="11" t="s">
        <v>26</v>
      </c>
      <c r="M87" s="8">
        <v>110</v>
      </c>
      <c r="N87" s="8">
        <v>24</v>
      </c>
      <c r="O87" s="8">
        <v>134</v>
      </c>
      <c r="P87" s="12">
        <v>0.59</v>
      </c>
      <c r="Q87" s="13">
        <v>107200</v>
      </c>
      <c r="R87" s="10">
        <v>15</v>
      </c>
      <c r="S87" s="10">
        <v>13</v>
      </c>
      <c r="T87" s="10">
        <v>2</v>
      </c>
      <c r="U87">
        <f t="shared" si="1"/>
        <v>42</v>
      </c>
    </row>
    <row r="88" spans="1:21" x14ac:dyDescent="0.25">
      <c r="A88" s="21">
        <v>410044</v>
      </c>
      <c r="B88" s="7" t="s">
        <v>178</v>
      </c>
      <c r="C88" s="8" t="s">
        <v>21</v>
      </c>
      <c r="D88" s="7" t="s">
        <v>96</v>
      </c>
      <c r="E88" s="7" t="s">
        <v>129</v>
      </c>
      <c r="F88" s="7">
        <v>380040</v>
      </c>
      <c r="G88" s="7" t="s">
        <v>175</v>
      </c>
      <c r="H88" s="7">
        <v>300910002</v>
      </c>
      <c r="I88" s="7" t="s">
        <v>99</v>
      </c>
      <c r="J88" s="9">
        <v>198400</v>
      </c>
      <c r="K88" s="10">
        <v>60</v>
      </c>
      <c r="L88" s="11" t="s">
        <v>26</v>
      </c>
      <c r="M88" s="8">
        <v>101</v>
      </c>
      <c r="N88" s="8">
        <v>48</v>
      </c>
      <c r="O88" s="8">
        <v>149</v>
      </c>
      <c r="P88" s="12">
        <v>0.44</v>
      </c>
      <c r="Q88" s="13">
        <v>89400</v>
      </c>
      <c r="R88" s="10">
        <v>13</v>
      </c>
      <c r="S88" s="10">
        <v>10</v>
      </c>
      <c r="T88" s="10">
        <v>3</v>
      </c>
      <c r="U88">
        <f t="shared" si="1"/>
        <v>76</v>
      </c>
    </row>
    <row r="89" spans="1:21" x14ac:dyDescent="0.25">
      <c r="A89" s="21">
        <v>410046</v>
      </c>
      <c r="B89" s="7" t="s">
        <v>179</v>
      </c>
      <c r="C89" s="8" t="s">
        <v>21</v>
      </c>
      <c r="D89" s="7" t="s">
        <v>96</v>
      </c>
      <c r="E89" s="7" t="s">
        <v>129</v>
      </c>
      <c r="F89" s="7">
        <v>380040</v>
      </c>
      <c r="G89" s="7" t="s">
        <v>175</v>
      </c>
      <c r="H89" s="7">
        <v>300910002</v>
      </c>
      <c r="I89" s="7" t="s">
        <v>99</v>
      </c>
      <c r="J89" s="9">
        <v>218000</v>
      </c>
      <c r="K89" s="10">
        <v>48</v>
      </c>
      <c r="L89" s="11" t="s">
        <v>26</v>
      </c>
      <c r="M89" s="8">
        <v>76</v>
      </c>
      <c r="N89" s="8">
        <v>20</v>
      </c>
      <c r="O89" s="8">
        <v>96</v>
      </c>
      <c r="P89" s="12">
        <v>0.63</v>
      </c>
      <c r="Q89" s="13">
        <v>96000</v>
      </c>
      <c r="R89" s="10">
        <v>13</v>
      </c>
      <c r="S89" s="10">
        <v>5</v>
      </c>
      <c r="T89" s="10">
        <v>8</v>
      </c>
      <c r="U89">
        <f t="shared" si="1"/>
        <v>79</v>
      </c>
    </row>
    <row r="90" spans="1:21" x14ac:dyDescent="0.25">
      <c r="A90" s="21">
        <v>410047</v>
      </c>
      <c r="B90" s="7" t="s">
        <v>180</v>
      </c>
      <c r="C90" s="8" t="s">
        <v>21</v>
      </c>
      <c r="D90" s="7" t="s">
        <v>96</v>
      </c>
      <c r="E90" s="7" t="s">
        <v>129</v>
      </c>
      <c r="F90" s="7">
        <v>380040</v>
      </c>
      <c r="G90" s="7" t="s">
        <v>175</v>
      </c>
      <c r="H90" s="7">
        <v>300910002</v>
      </c>
      <c r="I90" s="7" t="s">
        <v>99</v>
      </c>
      <c r="J90" s="9">
        <v>248600</v>
      </c>
      <c r="K90" s="10">
        <v>34</v>
      </c>
      <c r="L90" s="11" t="s">
        <v>26</v>
      </c>
      <c r="M90" s="8">
        <v>104</v>
      </c>
      <c r="N90" s="8">
        <v>9</v>
      </c>
      <c r="O90" s="8">
        <v>113</v>
      </c>
      <c r="P90" s="12">
        <v>0.82</v>
      </c>
      <c r="Q90" s="13">
        <v>135600</v>
      </c>
      <c r="R90" s="10">
        <v>14</v>
      </c>
      <c r="S90" s="10">
        <v>11</v>
      </c>
      <c r="T90" s="10">
        <v>3</v>
      </c>
      <c r="U90">
        <f t="shared" si="1"/>
        <v>57</v>
      </c>
    </row>
    <row r="91" spans="1:21" x14ac:dyDescent="0.25">
      <c r="A91" s="21">
        <v>4300000079</v>
      </c>
      <c r="B91" s="7" t="s">
        <v>181</v>
      </c>
      <c r="C91" s="8" t="s">
        <v>21</v>
      </c>
      <c r="D91" s="7" t="s">
        <v>45</v>
      </c>
      <c r="E91" s="7" t="s">
        <v>182</v>
      </c>
      <c r="F91" s="7">
        <v>430032</v>
      </c>
      <c r="G91" s="7" t="s">
        <v>183</v>
      </c>
      <c r="H91" s="7">
        <v>210001</v>
      </c>
      <c r="I91" s="7" t="s">
        <v>48</v>
      </c>
      <c r="J91" s="9">
        <v>0</v>
      </c>
      <c r="K91" s="10">
        <v>274</v>
      </c>
      <c r="L91" s="11" t="s">
        <v>33</v>
      </c>
      <c r="M91" s="8">
        <v>0</v>
      </c>
      <c r="N91" s="8">
        <v>0</v>
      </c>
      <c r="O91" s="8">
        <v>0</v>
      </c>
      <c r="P91" s="12">
        <v>0</v>
      </c>
      <c r="Q91" s="13">
        <v>0</v>
      </c>
      <c r="R91" s="10">
        <v>0</v>
      </c>
      <c r="S91" s="10">
        <v>0</v>
      </c>
      <c r="T91" s="10">
        <v>0</v>
      </c>
      <c r="U91">
        <f t="shared" si="1"/>
        <v>279</v>
      </c>
    </row>
    <row r="92" spans="1:21" x14ac:dyDescent="0.25">
      <c r="A92" s="21">
        <v>430000078</v>
      </c>
      <c r="B92" s="7" t="s">
        <v>184</v>
      </c>
      <c r="C92" s="8" t="s">
        <v>21</v>
      </c>
      <c r="D92" s="7" t="s">
        <v>45</v>
      </c>
      <c r="E92" s="7" t="s">
        <v>182</v>
      </c>
      <c r="F92" s="7">
        <v>430032</v>
      </c>
      <c r="G92" s="7" t="s">
        <v>183</v>
      </c>
      <c r="H92" s="7">
        <v>210001</v>
      </c>
      <c r="I92" s="7" t="s">
        <v>48</v>
      </c>
      <c r="J92" s="9">
        <v>36000</v>
      </c>
      <c r="K92" s="10">
        <v>241</v>
      </c>
      <c r="L92" s="11" t="s">
        <v>33</v>
      </c>
      <c r="M92" s="8">
        <v>15</v>
      </c>
      <c r="N92" s="8">
        <v>30</v>
      </c>
      <c r="O92" s="8">
        <v>45</v>
      </c>
      <c r="P92" s="12">
        <v>0.53</v>
      </c>
      <c r="Q92" s="13">
        <v>36000</v>
      </c>
      <c r="R92" s="10">
        <v>5</v>
      </c>
      <c r="S92" s="10">
        <v>5</v>
      </c>
      <c r="T92" s="10">
        <v>0</v>
      </c>
      <c r="U92">
        <f t="shared" si="1"/>
        <v>209</v>
      </c>
    </row>
    <row r="93" spans="1:21" x14ac:dyDescent="0.25">
      <c r="A93" s="21">
        <v>430034</v>
      </c>
      <c r="B93" s="7" t="s">
        <v>185</v>
      </c>
      <c r="C93" s="8" t="s">
        <v>21</v>
      </c>
      <c r="D93" s="7" t="s">
        <v>45</v>
      </c>
      <c r="E93" s="7" t="s">
        <v>182</v>
      </c>
      <c r="F93" s="7">
        <v>430032</v>
      </c>
      <c r="G93" s="7" t="s">
        <v>183</v>
      </c>
      <c r="H93" s="7">
        <v>210001</v>
      </c>
      <c r="I93" s="7" t="s">
        <v>48</v>
      </c>
      <c r="J93" s="9">
        <v>76000</v>
      </c>
      <c r="K93" s="10">
        <v>199</v>
      </c>
      <c r="L93" s="11" t="s">
        <v>33</v>
      </c>
      <c r="M93" s="8">
        <v>42</v>
      </c>
      <c r="N93" s="8">
        <v>30</v>
      </c>
      <c r="O93" s="8">
        <v>72</v>
      </c>
      <c r="P93" s="12">
        <v>0.62</v>
      </c>
      <c r="Q93" s="13">
        <v>72000</v>
      </c>
      <c r="R93" s="10">
        <v>10</v>
      </c>
      <c r="S93" s="10">
        <v>12</v>
      </c>
      <c r="T93" s="10">
        <v>0</v>
      </c>
      <c r="U93">
        <f t="shared" si="1"/>
        <v>127</v>
      </c>
    </row>
    <row r="94" spans="1:21" x14ac:dyDescent="0.25">
      <c r="A94" s="21">
        <v>430059</v>
      </c>
      <c r="B94" s="7" t="s">
        <v>186</v>
      </c>
      <c r="C94" s="8" t="s">
        <v>21</v>
      </c>
      <c r="D94" s="7" t="s">
        <v>45</v>
      </c>
      <c r="E94" s="7" t="s">
        <v>182</v>
      </c>
      <c r="F94" s="7">
        <v>430032</v>
      </c>
      <c r="G94" s="7" t="s">
        <v>183</v>
      </c>
      <c r="H94" s="7">
        <v>210001</v>
      </c>
      <c r="I94" s="7" t="s">
        <v>48</v>
      </c>
      <c r="J94" s="9">
        <v>84000</v>
      </c>
      <c r="K94" s="10">
        <v>189</v>
      </c>
      <c r="L94" s="11" t="s">
        <v>33</v>
      </c>
      <c r="M94" s="8">
        <v>53</v>
      </c>
      <c r="N94" s="8">
        <v>22</v>
      </c>
      <c r="O94" s="8">
        <v>75</v>
      </c>
      <c r="P94" s="12">
        <v>0.46</v>
      </c>
      <c r="Q94" s="13">
        <v>45000</v>
      </c>
      <c r="R94" s="10">
        <v>10</v>
      </c>
      <c r="S94" s="10">
        <v>9</v>
      </c>
      <c r="T94" s="10">
        <v>1</v>
      </c>
      <c r="U94">
        <f t="shared" si="1"/>
        <v>123</v>
      </c>
    </row>
    <row r="95" spans="1:21" x14ac:dyDescent="0.25">
      <c r="A95" s="21">
        <v>430062</v>
      </c>
      <c r="B95" s="7" t="s">
        <v>187</v>
      </c>
      <c r="C95" s="8" t="s">
        <v>21</v>
      </c>
      <c r="D95" s="7" t="s">
        <v>45</v>
      </c>
      <c r="E95" s="7" t="s">
        <v>182</v>
      </c>
      <c r="F95" s="7">
        <v>430027</v>
      </c>
      <c r="G95" s="7" t="s">
        <v>188</v>
      </c>
      <c r="H95" s="7">
        <v>210001</v>
      </c>
      <c r="I95" s="7" t="s">
        <v>48</v>
      </c>
      <c r="J95" s="9">
        <v>129800</v>
      </c>
      <c r="K95" s="10">
        <v>127</v>
      </c>
      <c r="L95" s="11" t="s">
        <v>26</v>
      </c>
      <c r="M95" s="8">
        <v>58</v>
      </c>
      <c r="N95" s="8">
        <v>48</v>
      </c>
      <c r="O95" s="8">
        <v>106</v>
      </c>
      <c r="P95" s="12">
        <v>0.56999999999999995</v>
      </c>
      <c r="Q95" s="13">
        <v>84800</v>
      </c>
      <c r="R95" s="10">
        <v>14</v>
      </c>
      <c r="S95" s="10">
        <v>13</v>
      </c>
      <c r="T95" s="10">
        <v>1</v>
      </c>
      <c r="U95">
        <f t="shared" si="1"/>
        <v>59</v>
      </c>
    </row>
    <row r="96" spans="1:21" x14ac:dyDescent="0.25">
      <c r="A96" s="21">
        <v>430071</v>
      </c>
      <c r="B96" s="7" t="s">
        <v>189</v>
      </c>
      <c r="C96" s="8" t="s">
        <v>21</v>
      </c>
      <c r="D96" s="7" t="s">
        <v>45</v>
      </c>
      <c r="E96" s="7" t="s">
        <v>190</v>
      </c>
      <c r="F96" s="7">
        <v>95200205</v>
      </c>
      <c r="G96" s="7" t="s">
        <v>191</v>
      </c>
      <c r="H96" s="7">
        <v>210001</v>
      </c>
      <c r="I96" s="7" t="s">
        <v>48</v>
      </c>
      <c r="J96" s="9">
        <v>50400</v>
      </c>
      <c r="K96" s="10">
        <v>225</v>
      </c>
      <c r="L96" s="11" t="s">
        <v>33</v>
      </c>
      <c r="M96" s="8">
        <v>20</v>
      </c>
      <c r="N96" s="8">
        <v>22</v>
      </c>
      <c r="O96" s="8">
        <v>42</v>
      </c>
      <c r="P96" s="12">
        <v>0.72</v>
      </c>
      <c r="Q96" s="13">
        <v>50400</v>
      </c>
      <c r="R96" s="10">
        <v>2</v>
      </c>
      <c r="S96" s="10">
        <v>16</v>
      </c>
      <c r="T96" s="10">
        <v>0</v>
      </c>
      <c r="U96">
        <f t="shared" si="1"/>
        <v>256</v>
      </c>
    </row>
    <row r="97" spans="1:21" x14ac:dyDescent="0.25">
      <c r="A97" s="21">
        <v>430072</v>
      </c>
      <c r="B97" s="7" t="s">
        <v>192</v>
      </c>
      <c r="C97" s="8" t="s">
        <v>21</v>
      </c>
      <c r="D97" s="7" t="s">
        <v>45</v>
      </c>
      <c r="E97" s="7" t="s">
        <v>190</v>
      </c>
      <c r="F97" s="7">
        <v>95200205</v>
      </c>
      <c r="G97" s="7" t="s">
        <v>191</v>
      </c>
      <c r="H97" s="7">
        <v>210001</v>
      </c>
      <c r="I97" s="7" t="s">
        <v>48</v>
      </c>
      <c r="J97" s="9">
        <v>79800</v>
      </c>
      <c r="K97" s="10">
        <v>195</v>
      </c>
      <c r="L97" s="11" t="s">
        <v>33</v>
      </c>
      <c r="M97" s="8">
        <v>55</v>
      </c>
      <c r="N97" s="8">
        <v>26</v>
      </c>
      <c r="O97" s="8">
        <v>81</v>
      </c>
      <c r="P97" s="12">
        <v>0.51</v>
      </c>
      <c r="Q97" s="13">
        <v>64800</v>
      </c>
      <c r="R97" s="10">
        <v>9</v>
      </c>
      <c r="S97" s="10">
        <v>8</v>
      </c>
      <c r="T97" s="10">
        <v>1</v>
      </c>
      <c r="U97">
        <f t="shared" si="1"/>
        <v>136</v>
      </c>
    </row>
    <row r="98" spans="1:21" x14ac:dyDescent="0.25">
      <c r="A98" s="21">
        <v>430075</v>
      </c>
      <c r="B98" s="7" t="s">
        <v>193</v>
      </c>
      <c r="C98" s="8" t="s">
        <v>21</v>
      </c>
      <c r="D98" s="7" t="s">
        <v>45</v>
      </c>
      <c r="E98" s="7" t="s">
        <v>182</v>
      </c>
      <c r="F98" s="7">
        <v>2101070003</v>
      </c>
      <c r="G98" s="7" t="s">
        <v>194</v>
      </c>
      <c r="H98" s="7">
        <v>210001</v>
      </c>
      <c r="I98" s="7" t="s">
        <v>48</v>
      </c>
      <c r="J98" s="9">
        <v>141000</v>
      </c>
      <c r="K98" s="10">
        <v>109</v>
      </c>
      <c r="L98" s="11" t="s">
        <v>26</v>
      </c>
      <c r="M98" s="8">
        <v>34</v>
      </c>
      <c r="N98" s="8">
        <v>46</v>
      </c>
      <c r="O98" s="8">
        <v>80</v>
      </c>
      <c r="P98" s="12">
        <v>0.51</v>
      </c>
      <c r="Q98" s="13">
        <v>64000</v>
      </c>
      <c r="R98" s="10">
        <v>10</v>
      </c>
      <c r="S98" s="10">
        <v>5</v>
      </c>
      <c r="T98" s="10">
        <v>5</v>
      </c>
      <c r="U98">
        <f t="shared" si="1"/>
        <v>120</v>
      </c>
    </row>
    <row r="99" spans="1:21" x14ac:dyDescent="0.25">
      <c r="A99" s="21">
        <v>430076</v>
      </c>
      <c r="B99" s="7" t="s">
        <v>195</v>
      </c>
      <c r="C99" s="8" t="s">
        <v>21</v>
      </c>
      <c r="D99" s="7" t="s">
        <v>45</v>
      </c>
      <c r="E99" s="7" t="s">
        <v>182</v>
      </c>
      <c r="F99" s="7">
        <v>430032</v>
      </c>
      <c r="G99" s="7" t="s">
        <v>183</v>
      </c>
      <c r="H99" s="7">
        <v>210001</v>
      </c>
      <c r="I99" s="7" t="s">
        <v>48</v>
      </c>
      <c r="J99" s="9">
        <v>216800</v>
      </c>
      <c r="K99" s="10">
        <v>50</v>
      </c>
      <c r="L99" s="11" t="s">
        <v>26</v>
      </c>
      <c r="M99" s="8">
        <v>93</v>
      </c>
      <c r="N99" s="8">
        <v>70</v>
      </c>
      <c r="O99" s="8">
        <v>163</v>
      </c>
      <c r="P99" s="12">
        <v>0.48</v>
      </c>
      <c r="Q99" s="13">
        <v>97800</v>
      </c>
      <c r="R99" s="10">
        <v>13</v>
      </c>
      <c r="S99" s="10">
        <v>10</v>
      </c>
      <c r="T99" s="10">
        <v>3</v>
      </c>
      <c r="U99">
        <f t="shared" si="1"/>
        <v>72</v>
      </c>
    </row>
    <row r="100" spans="1:21" x14ac:dyDescent="0.25">
      <c r="A100" s="21">
        <v>430077</v>
      </c>
      <c r="B100" s="7" t="s">
        <v>196</v>
      </c>
      <c r="C100" s="8" t="s">
        <v>21</v>
      </c>
      <c r="D100" s="7" t="s">
        <v>45</v>
      </c>
      <c r="E100" s="7" t="s">
        <v>182</v>
      </c>
      <c r="F100" s="7">
        <v>2101070003</v>
      </c>
      <c r="G100" s="7" t="s">
        <v>194</v>
      </c>
      <c r="H100" s="7">
        <v>210001</v>
      </c>
      <c r="I100" s="7" t="s">
        <v>48</v>
      </c>
      <c r="J100" s="9">
        <v>104400</v>
      </c>
      <c r="K100" s="10">
        <v>168</v>
      </c>
      <c r="L100" s="11" t="s">
        <v>26</v>
      </c>
      <c r="M100" s="8">
        <v>32</v>
      </c>
      <c r="N100" s="8">
        <v>46</v>
      </c>
      <c r="O100" s="8">
        <v>78</v>
      </c>
      <c r="P100" s="12">
        <v>0.51</v>
      </c>
      <c r="Q100" s="13">
        <v>62400</v>
      </c>
      <c r="R100" s="10">
        <v>10</v>
      </c>
      <c r="S100" s="10">
        <v>8</v>
      </c>
      <c r="T100" s="10">
        <v>2</v>
      </c>
      <c r="U100">
        <f t="shared" si="1"/>
        <v>117</v>
      </c>
    </row>
    <row r="101" spans="1:21" x14ac:dyDescent="0.25">
      <c r="A101" s="21">
        <v>900000203</v>
      </c>
      <c r="B101" s="7" t="s">
        <v>197</v>
      </c>
      <c r="C101" s="8" t="s">
        <v>21</v>
      </c>
      <c r="D101" s="7" t="s">
        <v>29</v>
      </c>
      <c r="E101" s="7" t="s">
        <v>198</v>
      </c>
      <c r="F101" s="7">
        <v>301310005</v>
      </c>
      <c r="G101" s="7" t="s">
        <v>199</v>
      </c>
      <c r="H101" s="7">
        <v>300310001</v>
      </c>
      <c r="I101" s="7" t="s">
        <v>32</v>
      </c>
      <c r="J101" s="9">
        <v>288400</v>
      </c>
      <c r="K101" s="10">
        <v>20</v>
      </c>
      <c r="L101" s="11" t="s">
        <v>26</v>
      </c>
      <c r="M101" s="8">
        <v>102</v>
      </c>
      <c r="N101" s="8">
        <v>20</v>
      </c>
      <c r="O101" s="8">
        <v>122</v>
      </c>
      <c r="P101" s="12">
        <v>0.81</v>
      </c>
      <c r="Q101" s="13">
        <v>146400</v>
      </c>
      <c r="R101" s="10">
        <v>21</v>
      </c>
      <c r="S101" s="10">
        <v>17</v>
      </c>
      <c r="T101" s="10">
        <v>4</v>
      </c>
      <c r="U101">
        <f t="shared" si="1"/>
        <v>14</v>
      </c>
    </row>
    <row r="102" spans="1:21" x14ac:dyDescent="0.25">
      <c r="A102" s="21">
        <v>900000205</v>
      </c>
      <c r="B102" s="7" t="s">
        <v>200</v>
      </c>
      <c r="C102" s="8" t="s">
        <v>21</v>
      </c>
      <c r="D102" s="7" t="s">
        <v>29</v>
      </c>
      <c r="E102" s="7" t="s">
        <v>198</v>
      </c>
      <c r="F102" s="7">
        <v>301310005</v>
      </c>
      <c r="G102" s="7" t="s">
        <v>199</v>
      </c>
      <c r="H102" s="7">
        <v>300310001</v>
      </c>
      <c r="I102" s="7" t="s">
        <v>32</v>
      </c>
      <c r="J102" s="9">
        <v>197400</v>
      </c>
      <c r="K102" s="10">
        <v>61</v>
      </c>
      <c r="L102" s="11" t="s">
        <v>26</v>
      </c>
      <c r="M102" s="8">
        <v>72</v>
      </c>
      <c r="N102" s="8">
        <v>5</v>
      </c>
      <c r="O102" s="8">
        <v>77</v>
      </c>
      <c r="P102" s="12">
        <v>0.82</v>
      </c>
      <c r="Q102" s="13">
        <v>92400</v>
      </c>
      <c r="R102" s="10">
        <v>14</v>
      </c>
      <c r="S102" s="10">
        <v>11</v>
      </c>
      <c r="T102" s="10">
        <v>3</v>
      </c>
      <c r="U102">
        <f t="shared" si="1"/>
        <v>47</v>
      </c>
    </row>
    <row r="103" spans="1:21" x14ac:dyDescent="0.25">
      <c r="A103" s="21">
        <v>90000118</v>
      </c>
      <c r="B103" s="7" t="s">
        <v>201</v>
      </c>
      <c r="C103" s="8" t="s">
        <v>21</v>
      </c>
      <c r="D103" s="7" t="s">
        <v>29</v>
      </c>
      <c r="E103" s="7" t="s">
        <v>198</v>
      </c>
      <c r="F103" s="7">
        <v>301310005</v>
      </c>
      <c r="G103" s="7" t="s">
        <v>199</v>
      </c>
      <c r="H103" s="7">
        <v>300310001</v>
      </c>
      <c r="I103" s="7" t="s">
        <v>32</v>
      </c>
      <c r="J103" s="9">
        <v>154000</v>
      </c>
      <c r="K103" s="10">
        <v>92</v>
      </c>
      <c r="L103" s="11" t="s">
        <v>26</v>
      </c>
      <c r="M103" s="8">
        <v>58</v>
      </c>
      <c r="N103" s="8">
        <v>19</v>
      </c>
      <c r="O103" s="8">
        <v>77</v>
      </c>
      <c r="P103" s="12">
        <v>0.63</v>
      </c>
      <c r="Q103" s="13">
        <v>77000</v>
      </c>
      <c r="R103" s="10">
        <v>11</v>
      </c>
      <c r="S103" s="10">
        <v>8</v>
      </c>
      <c r="T103" s="10">
        <v>3</v>
      </c>
      <c r="U103">
        <f t="shared" si="1"/>
        <v>89</v>
      </c>
    </row>
    <row r="104" spans="1:21" x14ac:dyDescent="0.25">
      <c r="A104" s="21">
        <v>90000119</v>
      </c>
      <c r="B104" s="7" t="s">
        <v>202</v>
      </c>
      <c r="C104" s="8" t="s">
        <v>21</v>
      </c>
      <c r="D104" s="7" t="s">
        <v>29</v>
      </c>
      <c r="E104" s="7" t="s">
        <v>198</v>
      </c>
      <c r="F104" s="7">
        <v>301310005</v>
      </c>
      <c r="G104" s="7" t="s">
        <v>199</v>
      </c>
      <c r="H104" s="7">
        <v>300310001</v>
      </c>
      <c r="I104" s="7" t="s">
        <v>32</v>
      </c>
      <c r="J104" s="9">
        <v>176200</v>
      </c>
      <c r="K104" s="10">
        <v>73</v>
      </c>
      <c r="L104" s="11" t="s">
        <v>26</v>
      </c>
      <c r="M104" s="8">
        <v>65</v>
      </c>
      <c r="N104" s="8">
        <v>19</v>
      </c>
      <c r="O104" s="8">
        <v>84</v>
      </c>
      <c r="P104" s="12">
        <v>0.52</v>
      </c>
      <c r="Q104" s="13">
        <v>67200</v>
      </c>
      <c r="R104" s="10">
        <v>11</v>
      </c>
      <c r="S104" s="10">
        <v>8</v>
      </c>
      <c r="T104" s="10">
        <v>3</v>
      </c>
      <c r="U104">
        <f t="shared" si="1"/>
        <v>94</v>
      </c>
    </row>
    <row r="105" spans="1:21" x14ac:dyDescent="0.25">
      <c r="A105" s="21">
        <v>910000300</v>
      </c>
      <c r="B105" s="7" t="s">
        <v>203</v>
      </c>
      <c r="C105" s="8" t="s">
        <v>21</v>
      </c>
      <c r="D105" s="7" t="s">
        <v>50</v>
      </c>
      <c r="E105" s="7" t="s">
        <v>63</v>
      </c>
      <c r="F105" s="7">
        <v>350003</v>
      </c>
      <c r="G105" s="7" t="s">
        <v>64</v>
      </c>
      <c r="H105" s="7">
        <v>410000010</v>
      </c>
      <c r="I105" s="7" t="s">
        <v>53</v>
      </c>
      <c r="J105" s="9">
        <v>220000</v>
      </c>
      <c r="K105" s="10">
        <v>45</v>
      </c>
      <c r="L105" s="11" t="s">
        <v>26</v>
      </c>
      <c r="M105" s="8">
        <v>89</v>
      </c>
      <c r="N105" s="8">
        <v>35</v>
      </c>
      <c r="O105" s="8">
        <v>124</v>
      </c>
      <c r="P105" s="12">
        <v>0.61</v>
      </c>
      <c r="Q105" s="13">
        <v>124000</v>
      </c>
      <c r="R105" s="10">
        <v>14</v>
      </c>
      <c r="S105" s="10">
        <v>8</v>
      </c>
      <c r="T105" s="10">
        <v>6</v>
      </c>
      <c r="U105">
        <f t="shared" si="1"/>
        <v>48</v>
      </c>
    </row>
    <row r="106" spans="1:21" x14ac:dyDescent="0.25">
      <c r="A106" s="21">
        <v>910000301</v>
      </c>
      <c r="B106" s="7" t="s">
        <v>204</v>
      </c>
      <c r="C106" s="8" t="s">
        <v>21</v>
      </c>
      <c r="D106" s="7" t="s">
        <v>50</v>
      </c>
      <c r="E106" s="7" t="s">
        <v>63</v>
      </c>
      <c r="F106" s="7">
        <v>350003</v>
      </c>
      <c r="G106" s="7" t="s">
        <v>64</v>
      </c>
      <c r="H106" s="7">
        <v>410000010</v>
      </c>
      <c r="I106" s="7" t="s">
        <v>53</v>
      </c>
      <c r="J106" s="9">
        <v>114000</v>
      </c>
      <c r="K106" s="10">
        <v>147</v>
      </c>
      <c r="L106" s="11" t="s">
        <v>26</v>
      </c>
      <c r="M106" s="8">
        <v>72</v>
      </c>
      <c r="N106" s="8">
        <v>23</v>
      </c>
      <c r="O106" s="8">
        <v>95</v>
      </c>
      <c r="P106" s="12">
        <v>0.74</v>
      </c>
      <c r="Q106" s="13">
        <v>114000</v>
      </c>
      <c r="R106" s="10">
        <v>13</v>
      </c>
      <c r="S106" s="10">
        <v>13</v>
      </c>
      <c r="T106" s="10">
        <v>0</v>
      </c>
      <c r="U106">
        <f t="shared" si="1"/>
        <v>66</v>
      </c>
    </row>
    <row r="107" spans="1:21" x14ac:dyDescent="0.25">
      <c r="A107" s="21">
        <v>910000302</v>
      </c>
      <c r="B107" s="7" t="s">
        <v>205</v>
      </c>
      <c r="C107" s="8" t="s">
        <v>21</v>
      </c>
      <c r="D107" s="7" t="s">
        <v>50</v>
      </c>
      <c r="E107" s="7" t="s">
        <v>63</v>
      </c>
      <c r="F107" s="7">
        <v>350003</v>
      </c>
      <c r="G107" s="7" t="s">
        <v>64</v>
      </c>
      <c r="H107" s="7">
        <v>410000010</v>
      </c>
      <c r="I107" s="7" t="s">
        <v>53</v>
      </c>
      <c r="J107" s="9">
        <v>247000</v>
      </c>
      <c r="K107" s="10">
        <v>35</v>
      </c>
      <c r="L107" s="11" t="s">
        <v>26</v>
      </c>
      <c r="M107" s="8">
        <v>98</v>
      </c>
      <c r="N107" s="8">
        <v>42</v>
      </c>
      <c r="O107" s="8">
        <v>140</v>
      </c>
      <c r="P107" s="12">
        <v>0.69</v>
      </c>
      <c r="Q107" s="13">
        <v>140000</v>
      </c>
      <c r="R107" s="10">
        <v>20</v>
      </c>
      <c r="S107" s="10">
        <v>17</v>
      </c>
      <c r="T107" s="10">
        <v>3</v>
      </c>
      <c r="U107">
        <f t="shared" si="1"/>
        <v>19</v>
      </c>
    </row>
    <row r="108" spans="1:21" x14ac:dyDescent="0.25">
      <c r="A108" s="21">
        <v>91000118</v>
      </c>
      <c r="B108" s="7" t="s">
        <v>206</v>
      </c>
      <c r="C108" s="8" t="s">
        <v>21</v>
      </c>
      <c r="D108" s="7" t="s">
        <v>50</v>
      </c>
      <c r="E108" s="7" t="s">
        <v>63</v>
      </c>
      <c r="F108" s="7">
        <v>350003</v>
      </c>
      <c r="G108" s="7" t="s">
        <v>64</v>
      </c>
      <c r="H108" s="7">
        <v>410000010</v>
      </c>
      <c r="I108" s="7" t="s">
        <v>53</v>
      </c>
      <c r="J108" s="9">
        <v>143200</v>
      </c>
      <c r="K108" s="10">
        <v>103</v>
      </c>
      <c r="L108" s="11" t="s">
        <v>26</v>
      </c>
      <c r="M108" s="8">
        <v>95</v>
      </c>
      <c r="N108" s="8">
        <v>39</v>
      </c>
      <c r="O108" s="8">
        <v>134</v>
      </c>
      <c r="P108" s="12">
        <v>0.54</v>
      </c>
      <c r="Q108" s="13">
        <v>107200</v>
      </c>
      <c r="R108" s="10">
        <v>9</v>
      </c>
      <c r="S108" s="10">
        <v>7</v>
      </c>
      <c r="T108" s="10">
        <v>2</v>
      </c>
      <c r="U108">
        <f t="shared" si="1"/>
        <v>148</v>
      </c>
    </row>
    <row r="109" spans="1:21" x14ac:dyDescent="0.25">
      <c r="A109" s="21">
        <v>91000123</v>
      </c>
      <c r="B109" s="7" t="s">
        <v>207</v>
      </c>
      <c r="C109" s="8" t="s">
        <v>21</v>
      </c>
      <c r="D109" s="7" t="s">
        <v>50</v>
      </c>
      <c r="E109" s="7" t="s">
        <v>208</v>
      </c>
      <c r="F109" s="7">
        <v>91200201</v>
      </c>
      <c r="G109" s="7" t="s">
        <v>209</v>
      </c>
      <c r="H109" s="7">
        <v>410000010</v>
      </c>
      <c r="I109" s="7" t="s">
        <v>53</v>
      </c>
      <c r="J109" s="9">
        <v>115200</v>
      </c>
      <c r="K109" s="10">
        <v>144</v>
      </c>
      <c r="L109" s="11" t="s">
        <v>26</v>
      </c>
      <c r="M109" s="8">
        <v>41</v>
      </c>
      <c r="N109" s="8">
        <v>23</v>
      </c>
      <c r="O109" s="8">
        <v>64</v>
      </c>
      <c r="P109" s="12">
        <v>0.5</v>
      </c>
      <c r="Q109" s="13">
        <v>51200</v>
      </c>
      <c r="R109" s="10">
        <v>7</v>
      </c>
      <c r="S109" s="10">
        <v>5</v>
      </c>
      <c r="T109" s="10">
        <v>2</v>
      </c>
      <c r="U109">
        <f t="shared" si="1"/>
        <v>179</v>
      </c>
    </row>
    <row r="110" spans="1:21" x14ac:dyDescent="0.25">
      <c r="A110" s="21">
        <v>91000125</v>
      </c>
      <c r="B110" s="7" t="s">
        <v>210</v>
      </c>
      <c r="C110" s="8" t="s">
        <v>21</v>
      </c>
      <c r="D110" s="7" t="s">
        <v>50</v>
      </c>
      <c r="E110" s="7" t="s">
        <v>63</v>
      </c>
      <c r="F110" s="7">
        <v>350003</v>
      </c>
      <c r="G110" s="7" t="s">
        <v>64</v>
      </c>
      <c r="H110" s="7">
        <v>410000010</v>
      </c>
      <c r="I110" s="7" t="s">
        <v>53</v>
      </c>
      <c r="J110" s="9">
        <v>124000</v>
      </c>
      <c r="K110" s="10">
        <v>137</v>
      </c>
      <c r="L110" s="11" t="s">
        <v>26</v>
      </c>
      <c r="M110" s="8">
        <v>44</v>
      </c>
      <c r="N110" s="8">
        <v>36</v>
      </c>
      <c r="O110" s="8">
        <v>80</v>
      </c>
      <c r="P110" s="12">
        <v>0.41</v>
      </c>
      <c r="Q110" s="13">
        <v>48000</v>
      </c>
      <c r="R110" s="10">
        <v>9</v>
      </c>
      <c r="S110" s="10">
        <v>7</v>
      </c>
      <c r="T110" s="10">
        <v>2</v>
      </c>
      <c r="U110">
        <f t="shared" si="1"/>
        <v>144</v>
      </c>
    </row>
    <row r="111" spans="1:21" x14ac:dyDescent="0.25">
      <c r="A111" s="21">
        <v>91000126</v>
      </c>
      <c r="B111" s="7" t="s">
        <v>211</v>
      </c>
      <c r="C111" s="8" t="s">
        <v>21</v>
      </c>
      <c r="D111" s="7" t="s">
        <v>50</v>
      </c>
      <c r="E111" s="7" t="s">
        <v>208</v>
      </c>
      <c r="F111" s="7">
        <v>91200201</v>
      </c>
      <c r="G111" s="7" t="s">
        <v>209</v>
      </c>
      <c r="H111" s="7">
        <v>410000010</v>
      </c>
      <c r="I111" s="7" t="s">
        <v>53</v>
      </c>
      <c r="J111" s="9">
        <v>103800</v>
      </c>
      <c r="K111" s="10">
        <v>169</v>
      </c>
      <c r="L111" s="11" t="s">
        <v>26</v>
      </c>
      <c r="M111" s="8">
        <v>31</v>
      </c>
      <c r="N111" s="8">
        <v>32</v>
      </c>
      <c r="O111" s="8">
        <v>63</v>
      </c>
      <c r="P111" s="12">
        <v>0.47</v>
      </c>
      <c r="Q111" s="13">
        <v>37800</v>
      </c>
      <c r="R111" s="10">
        <v>8</v>
      </c>
      <c r="S111" s="10">
        <v>4</v>
      </c>
      <c r="T111" s="10">
        <v>4</v>
      </c>
      <c r="U111">
        <f t="shared" si="1"/>
        <v>164</v>
      </c>
    </row>
    <row r="112" spans="1:21" x14ac:dyDescent="0.25">
      <c r="A112" s="21">
        <v>91000131</v>
      </c>
      <c r="B112" s="7" t="s">
        <v>212</v>
      </c>
      <c r="C112" s="8" t="s">
        <v>21</v>
      </c>
      <c r="D112" s="7" t="s">
        <v>50</v>
      </c>
      <c r="E112" s="7" t="s">
        <v>51</v>
      </c>
      <c r="F112" s="7">
        <v>91000115</v>
      </c>
      <c r="G112" s="7" t="s">
        <v>52</v>
      </c>
      <c r="H112" s="7">
        <v>410000010</v>
      </c>
      <c r="I112" s="7" t="s">
        <v>53</v>
      </c>
      <c r="J112" s="9">
        <v>217000</v>
      </c>
      <c r="K112" s="10">
        <v>49</v>
      </c>
      <c r="L112" s="11" t="s">
        <v>26</v>
      </c>
      <c r="M112" s="8">
        <v>135</v>
      </c>
      <c r="N112" s="8">
        <v>49</v>
      </c>
      <c r="O112" s="8">
        <v>184</v>
      </c>
      <c r="P112" s="12">
        <v>0.61</v>
      </c>
      <c r="Q112" s="13">
        <v>184000</v>
      </c>
      <c r="R112" s="10">
        <v>21</v>
      </c>
      <c r="S112" s="10">
        <v>16</v>
      </c>
      <c r="T112" s="10">
        <v>5</v>
      </c>
      <c r="U112">
        <f t="shared" si="1"/>
        <v>15</v>
      </c>
    </row>
    <row r="113" spans="1:21" x14ac:dyDescent="0.25">
      <c r="A113" s="21">
        <v>91000132</v>
      </c>
      <c r="B113" s="7" t="s">
        <v>213</v>
      </c>
      <c r="C113" s="8" t="s">
        <v>21</v>
      </c>
      <c r="D113" s="7" t="s">
        <v>50</v>
      </c>
      <c r="E113" s="7" t="s">
        <v>208</v>
      </c>
      <c r="F113" s="7">
        <v>91200201</v>
      </c>
      <c r="G113" s="7" t="s">
        <v>209</v>
      </c>
      <c r="H113" s="7">
        <v>410000010</v>
      </c>
      <c r="I113" s="7" t="s">
        <v>53</v>
      </c>
      <c r="J113" s="9">
        <v>111200</v>
      </c>
      <c r="K113" s="10">
        <v>158</v>
      </c>
      <c r="L113" s="11" t="s">
        <v>26</v>
      </c>
      <c r="M113" s="8">
        <v>41</v>
      </c>
      <c r="N113" s="8">
        <v>31</v>
      </c>
      <c r="O113" s="8">
        <v>72</v>
      </c>
      <c r="P113" s="12">
        <v>0.44</v>
      </c>
      <c r="Q113" s="13">
        <v>43200</v>
      </c>
      <c r="R113" s="10">
        <v>7</v>
      </c>
      <c r="S113" s="10">
        <v>3</v>
      </c>
      <c r="T113" s="10">
        <v>4</v>
      </c>
      <c r="U113">
        <f t="shared" si="1"/>
        <v>180</v>
      </c>
    </row>
    <row r="114" spans="1:21" x14ac:dyDescent="0.25">
      <c r="A114" s="21">
        <v>91000134</v>
      </c>
      <c r="B114" s="7" t="s">
        <v>214</v>
      </c>
      <c r="C114" s="8" t="s">
        <v>21</v>
      </c>
      <c r="D114" s="7" t="s">
        <v>50</v>
      </c>
      <c r="E114" s="7" t="s">
        <v>208</v>
      </c>
      <c r="F114" s="7">
        <v>91200201</v>
      </c>
      <c r="G114" s="7" t="s">
        <v>209</v>
      </c>
      <c r="H114" s="7">
        <v>410000010</v>
      </c>
      <c r="I114" s="7" t="s">
        <v>53</v>
      </c>
      <c r="J114" s="9">
        <v>77000</v>
      </c>
      <c r="K114" s="10">
        <v>197</v>
      </c>
      <c r="L114" s="11" t="s">
        <v>33</v>
      </c>
      <c r="M114" s="8">
        <v>41</v>
      </c>
      <c r="N114" s="8">
        <v>49</v>
      </c>
      <c r="O114" s="8">
        <v>90</v>
      </c>
      <c r="P114" s="12">
        <v>0.39</v>
      </c>
      <c r="Q114" s="13">
        <v>0</v>
      </c>
      <c r="R114" s="10">
        <v>7</v>
      </c>
      <c r="S114" s="10">
        <v>2</v>
      </c>
      <c r="T114" s="10">
        <v>5</v>
      </c>
      <c r="U114">
        <f t="shared" si="1"/>
        <v>181</v>
      </c>
    </row>
    <row r="115" spans="1:21" x14ac:dyDescent="0.25">
      <c r="A115" s="21">
        <v>91000137</v>
      </c>
      <c r="B115" s="7" t="s">
        <v>215</v>
      </c>
      <c r="C115" s="8" t="s">
        <v>21</v>
      </c>
      <c r="D115" s="7" t="s">
        <v>50</v>
      </c>
      <c r="E115" s="7" t="s">
        <v>208</v>
      </c>
      <c r="F115" s="7">
        <v>91200201</v>
      </c>
      <c r="G115" s="7" t="s">
        <v>209</v>
      </c>
      <c r="H115" s="7">
        <v>410000010</v>
      </c>
      <c r="I115" s="7" t="s">
        <v>53</v>
      </c>
      <c r="J115" s="9">
        <v>138600</v>
      </c>
      <c r="K115" s="10">
        <v>113</v>
      </c>
      <c r="L115" s="11" t="s">
        <v>26</v>
      </c>
      <c r="M115" s="8">
        <v>45</v>
      </c>
      <c r="N115" s="8">
        <v>41</v>
      </c>
      <c r="O115" s="8">
        <v>86</v>
      </c>
      <c r="P115" s="12">
        <v>0.42</v>
      </c>
      <c r="Q115" s="13">
        <v>51600</v>
      </c>
      <c r="R115" s="10">
        <v>8</v>
      </c>
      <c r="S115" s="10">
        <v>5</v>
      </c>
      <c r="T115" s="10">
        <v>3</v>
      </c>
      <c r="U115">
        <f t="shared" si="1"/>
        <v>168</v>
      </c>
    </row>
    <row r="116" spans="1:21" x14ac:dyDescent="0.25">
      <c r="A116" s="21">
        <v>910001390</v>
      </c>
      <c r="B116" s="7" t="s">
        <v>216</v>
      </c>
      <c r="C116" s="8" t="s">
        <v>21</v>
      </c>
      <c r="D116" s="7" t="s">
        <v>50</v>
      </c>
      <c r="E116" s="7" t="s">
        <v>217</v>
      </c>
      <c r="F116" s="7">
        <v>91200201</v>
      </c>
      <c r="G116" s="7" t="s">
        <v>209</v>
      </c>
      <c r="H116" s="7">
        <v>410000010</v>
      </c>
      <c r="I116" s="7" t="s">
        <v>53</v>
      </c>
      <c r="J116" s="9">
        <v>141600</v>
      </c>
      <c r="K116" s="10">
        <v>106</v>
      </c>
      <c r="L116" s="11" t="s">
        <v>26</v>
      </c>
      <c r="M116" s="8">
        <v>64</v>
      </c>
      <c r="N116" s="8">
        <v>28</v>
      </c>
      <c r="O116" s="8">
        <v>92</v>
      </c>
      <c r="P116" s="12">
        <v>0.59</v>
      </c>
      <c r="Q116" s="13">
        <v>73600</v>
      </c>
      <c r="R116" s="10">
        <v>13</v>
      </c>
      <c r="S116" s="10">
        <v>9</v>
      </c>
      <c r="T116" s="10">
        <v>4</v>
      </c>
      <c r="U116">
        <f t="shared" si="1"/>
        <v>65</v>
      </c>
    </row>
    <row r="117" spans="1:21" x14ac:dyDescent="0.25">
      <c r="A117" s="21">
        <v>910001391</v>
      </c>
      <c r="B117" s="7" t="s">
        <v>218</v>
      </c>
      <c r="C117" s="8" t="s">
        <v>21</v>
      </c>
      <c r="D117" s="7" t="s">
        <v>50</v>
      </c>
      <c r="E117" s="7" t="s">
        <v>217</v>
      </c>
      <c r="F117" s="7">
        <v>91200201</v>
      </c>
      <c r="G117" s="7" t="s">
        <v>209</v>
      </c>
      <c r="H117" s="7">
        <v>410000010</v>
      </c>
      <c r="I117" s="7" t="s">
        <v>53</v>
      </c>
      <c r="J117" s="9">
        <v>187000</v>
      </c>
      <c r="K117" s="10">
        <v>67</v>
      </c>
      <c r="L117" s="11" t="s">
        <v>26</v>
      </c>
      <c r="M117" s="8">
        <v>33</v>
      </c>
      <c r="N117" s="8">
        <v>49</v>
      </c>
      <c r="O117" s="8">
        <v>82</v>
      </c>
      <c r="P117" s="12">
        <v>0.63</v>
      </c>
      <c r="Q117" s="13">
        <v>82000</v>
      </c>
      <c r="R117" s="10">
        <v>11</v>
      </c>
      <c r="S117" s="10">
        <v>4</v>
      </c>
      <c r="T117" s="10">
        <v>7</v>
      </c>
      <c r="U117">
        <f t="shared" si="1"/>
        <v>105</v>
      </c>
    </row>
    <row r="118" spans="1:21" x14ac:dyDescent="0.25">
      <c r="A118" s="21">
        <v>910001392</v>
      </c>
      <c r="B118" s="7" t="s">
        <v>219</v>
      </c>
      <c r="C118" s="8" t="s">
        <v>21</v>
      </c>
      <c r="D118" s="7" t="s">
        <v>50</v>
      </c>
      <c r="E118" s="7" t="s">
        <v>217</v>
      </c>
      <c r="F118" s="7">
        <v>91200201</v>
      </c>
      <c r="G118" s="7" t="s">
        <v>209</v>
      </c>
      <c r="H118" s="7">
        <v>410000010</v>
      </c>
      <c r="I118" s="7" t="s">
        <v>53</v>
      </c>
      <c r="J118" s="9">
        <v>131000</v>
      </c>
      <c r="K118" s="10">
        <v>126</v>
      </c>
      <c r="L118" s="11" t="s">
        <v>26</v>
      </c>
      <c r="M118" s="8">
        <v>32</v>
      </c>
      <c r="N118" s="8">
        <v>58</v>
      </c>
      <c r="O118" s="8">
        <v>90</v>
      </c>
      <c r="P118" s="12">
        <v>0.48</v>
      </c>
      <c r="Q118" s="13">
        <v>54000</v>
      </c>
      <c r="R118" s="10">
        <v>11</v>
      </c>
      <c r="S118" s="10">
        <v>6</v>
      </c>
      <c r="T118" s="10">
        <v>5</v>
      </c>
      <c r="U118">
        <f t="shared" si="1"/>
        <v>90</v>
      </c>
    </row>
    <row r="119" spans="1:21" x14ac:dyDescent="0.25">
      <c r="A119" s="21">
        <v>910001393</v>
      </c>
      <c r="B119" s="7" t="s">
        <v>220</v>
      </c>
      <c r="C119" s="8" t="s">
        <v>21</v>
      </c>
      <c r="D119" s="7" t="s">
        <v>50</v>
      </c>
      <c r="E119" s="7" t="s">
        <v>217</v>
      </c>
      <c r="F119" s="7">
        <v>91200201</v>
      </c>
      <c r="G119" s="7" t="s">
        <v>209</v>
      </c>
      <c r="H119" s="7">
        <v>410000010</v>
      </c>
      <c r="I119" s="7" t="s">
        <v>53</v>
      </c>
      <c r="J119" s="9">
        <v>41400</v>
      </c>
      <c r="K119" s="10">
        <v>237</v>
      </c>
      <c r="L119" s="11" t="s">
        <v>33</v>
      </c>
      <c r="M119" s="8">
        <v>20</v>
      </c>
      <c r="N119" s="8">
        <v>24</v>
      </c>
      <c r="O119" s="8">
        <v>44</v>
      </c>
      <c r="P119" s="12">
        <v>0.44</v>
      </c>
      <c r="Q119" s="13">
        <v>26400</v>
      </c>
      <c r="R119" s="10">
        <v>4</v>
      </c>
      <c r="S119" s="10">
        <v>3</v>
      </c>
      <c r="T119" s="10">
        <v>1</v>
      </c>
      <c r="U119">
        <f t="shared" si="1"/>
        <v>223</v>
      </c>
    </row>
    <row r="120" spans="1:21" x14ac:dyDescent="0.25">
      <c r="A120" s="21">
        <v>910001394</v>
      </c>
      <c r="B120" s="7" t="s">
        <v>221</v>
      </c>
      <c r="C120" s="8" t="s">
        <v>21</v>
      </c>
      <c r="D120" s="7" t="s">
        <v>50</v>
      </c>
      <c r="E120" s="7" t="s">
        <v>222</v>
      </c>
      <c r="F120" s="7">
        <v>350003</v>
      </c>
      <c r="G120" s="7" t="s">
        <v>64</v>
      </c>
      <c r="H120" s="7">
        <v>410000010</v>
      </c>
      <c r="I120" s="7" t="s">
        <v>53</v>
      </c>
      <c r="J120" s="9">
        <v>70800</v>
      </c>
      <c r="K120" s="10">
        <v>205</v>
      </c>
      <c r="L120" s="11" t="s">
        <v>33</v>
      </c>
      <c r="M120" s="8">
        <v>51</v>
      </c>
      <c r="N120" s="8">
        <v>8</v>
      </c>
      <c r="O120" s="8">
        <v>59</v>
      </c>
      <c r="P120" s="12">
        <v>0.72</v>
      </c>
      <c r="Q120" s="13">
        <v>70800</v>
      </c>
      <c r="R120" s="10">
        <v>7</v>
      </c>
      <c r="S120" s="10">
        <v>7</v>
      </c>
      <c r="T120" s="10">
        <v>0</v>
      </c>
      <c r="U120">
        <f t="shared" si="1"/>
        <v>175</v>
      </c>
    </row>
    <row r="121" spans="1:21" x14ac:dyDescent="0.25">
      <c r="A121" s="21">
        <v>910001395</v>
      </c>
      <c r="B121" s="7" t="s">
        <v>223</v>
      </c>
      <c r="C121" s="8" t="s">
        <v>21</v>
      </c>
      <c r="D121" s="7" t="s">
        <v>50</v>
      </c>
      <c r="E121" s="7" t="s">
        <v>56</v>
      </c>
      <c r="F121" s="7">
        <v>350032</v>
      </c>
      <c r="G121" s="7" t="s">
        <v>57</v>
      </c>
      <c r="H121" s="7">
        <v>410000010</v>
      </c>
      <c r="I121" s="7" t="s">
        <v>53</v>
      </c>
      <c r="J121" s="9">
        <v>65000</v>
      </c>
      <c r="K121" s="10">
        <v>213</v>
      </c>
      <c r="L121" s="11" t="s">
        <v>33</v>
      </c>
      <c r="M121" s="8">
        <v>33</v>
      </c>
      <c r="N121" s="8">
        <v>22</v>
      </c>
      <c r="O121" s="8">
        <v>55</v>
      </c>
      <c r="P121" s="12">
        <v>0.42</v>
      </c>
      <c r="Q121" s="13">
        <v>33000</v>
      </c>
      <c r="R121" s="10">
        <v>7</v>
      </c>
      <c r="S121" s="10">
        <v>5</v>
      </c>
      <c r="T121" s="10">
        <v>2</v>
      </c>
      <c r="U121">
        <f t="shared" si="1"/>
        <v>172</v>
      </c>
    </row>
    <row r="122" spans="1:21" x14ac:dyDescent="0.25">
      <c r="A122" s="21">
        <v>910001396</v>
      </c>
      <c r="B122" s="7" t="s">
        <v>224</v>
      </c>
      <c r="C122" s="8" t="s">
        <v>21</v>
      </c>
      <c r="D122" s="7" t="s">
        <v>50</v>
      </c>
      <c r="E122" s="7" t="s">
        <v>225</v>
      </c>
      <c r="F122" s="7">
        <v>91000115</v>
      </c>
      <c r="G122" s="7" t="s">
        <v>52</v>
      </c>
      <c r="H122" s="7">
        <v>410000010</v>
      </c>
      <c r="I122" s="7" t="s">
        <v>53</v>
      </c>
      <c r="J122" s="9">
        <v>112000</v>
      </c>
      <c r="K122" s="10">
        <v>155</v>
      </c>
      <c r="L122" s="11" t="s">
        <v>26</v>
      </c>
      <c r="M122" s="8">
        <v>60</v>
      </c>
      <c r="N122" s="8">
        <v>55</v>
      </c>
      <c r="O122" s="8">
        <v>115</v>
      </c>
      <c r="P122" s="12">
        <v>0.55000000000000004</v>
      </c>
      <c r="Q122" s="13">
        <v>92000</v>
      </c>
      <c r="R122" s="10">
        <v>13</v>
      </c>
      <c r="S122" s="10">
        <v>11</v>
      </c>
      <c r="T122" s="10">
        <v>2</v>
      </c>
      <c r="U122">
        <f t="shared" si="1"/>
        <v>75</v>
      </c>
    </row>
    <row r="123" spans="1:21" x14ac:dyDescent="0.25">
      <c r="A123" s="21">
        <v>910001397</v>
      </c>
      <c r="B123" s="7" t="s">
        <v>226</v>
      </c>
      <c r="C123" s="8" t="s">
        <v>21</v>
      </c>
      <c r="D123" s="7" t="s">
        <v>50</v>
      </c>
      <c r="E123" s="7" t="s">
        <v>225</v>
      </c>
      <c r="F123" s="7">
        <v>91000115</v>
      </c>
      <c r="G123" s="7" t="s">
        <v>52</v>
      </c>
      <c r="H123" s="7">
        <v>410000010</v>
      </c>
      <c r="I123" s="7" t="s">
        <v>53</v>
      </c>
      <c r="J123" s="9">
        <v>182000</v>
      </c>
      <c r="K123" s="10">
        <v>69</v>
      </c>
      <c r="L123" s="11" t="s">
        <v>26</v>
      </c>
      <c r="M123" s="8">
        <v>114</v>
      </c>
      <c r="N123" s="8">
        <v>36</v>
      </c>
      <c r="O123" s="8">
        <v>150</v>
      </c>
      <c r="P123" s="12">
        <v>0.73</v>
      </c>
      <c r="Q123" s="13">
        <v>180000</v>
      </c>
      <c r="R123" s="10">
        <v>20</v>
      </c>
      <c r="S123" s="10">
        <v>21</v>
      </c>
      <c r="T123" s="10">
        <v>0</v>
      </c>
      <c r="U123">
        <f t="shared" si="1"/>
        <v>17</v>
      </c>
    </row>
    <row r="124" spans="1:21" x14ac:dyDescent="0.25">
      <c r="A124" s="21">
        <v>910001398</v>
      </c>
      <c r="B124" s="7" t="s">
        <v>227</v>
      </c>
      <c r="C124" s="8" t="s">
        <v>21</v>
      </c>
      <c r="D124" s="7" t="s">
        <v>50</v>
      </c>
      <c r="E124" s="7" t="s">
        <v>225</v>
      </c>
      <c r="F124" s="7">
        <v>91000115</v>
      </c>
      <c r="G124" s="7" t="s">
        <v>52</v>
      </c>
      <c r="H124" s="7">
        <v>410000010</v>
      </c>
      <c r="I124" s="7" t="s">
        <v>53</v>
      </c>
      <c r="J124" s="9">
        <v>288400</v>
      </c>
      <c r="K124" s="10">
        <v>20</v>
      </c>
      <c r="L124" s="11" t="s">
        <v>26</v>
      </c>
      <c r="M124" s="8">
        <v>97</v>
      </c>
      <c r="N124" s="8">
        <v>25</v>
      </c>
      <c r="O124" s="8">
        <v>122</v>
      </c>
      <c r="P124" s="12">
        <v>0.86</v>
      </c>
      <c r="Q124" s="13">
        <v>146400</v>
      </c>
      <c r="R124" s="10">
        <v>18</v>
      </c>
      <c r="S124" s="10">
        <v>14</v>
      </c>
      <c r="T124" s="10">
        <v>4</v>
      </c>
      <c r="U124">
        <f t="shared" si="1"/>
        <v>21</v>
      </c>
    </row>
    <row r="125" spans="1:21" x14ac:dyDescent="0.25">
      <c r="A125" s="21">
        <v>910001399</v>
      </c>
      <c r="B125" s="7" t="s">
        <v>228</v>
      </c>
      <c r="C125" s="8" t="s">
        <v>21</v>
      </c>
      <c r="D125" s="7" t="s">
        <v>50</v>
      </c>
      <c r="E125" s="7" t="s">
        <v>225</v>
      </c>
      <c r="F125" s="7">
        <v>91000112</v>
      </c>
      <c r="G125" s="7" t="s">
        <v>229</v>
      </c>
      <c r="H125" s="7">
        <v>410000010</v>
      </c>
      <c r="I125" s="7" t="s">
        <v>53</v>
      </c>
      <c r="J125" s="9">
        <v>146000</v>
      </c>
      <c r="K125" s="10">
        <v>100</v>
      </c>
      <c r="L125" s="11" t="s">
        <v>26</v>
      </c>
      <c r="M125" s="8">
        <v>51</v>
      </c>
      <c r="N125" s="8">
        <v>31</v>
      </c>
      <c r="O125" s="8">
        <v>82</v>
      </c>
      <c r="P125" s="12">
        <v>0.63</v>
      </c>
      <c r="Q125" s="13">
        <v>82000</v>
      </c>
      <c r="R125" s="10">
        <v>9</v>
      </c>
      <c r="S125" s="10">
        <v>5</v>
      </c>
      <c r="T125" s="10">
        <v>4</v>
      </c>
      <c r="U125">
        <f t="shared" si="1"/>
        <v>151</v>
      </c>
    </row>
    <row r="126" spans="1:21" x14ac:dyDescent="0.25">
      <c r="A126" s="21">
        <v>910001400</v>
      </c>
      <c r="B126" s="7" t="s">
        <v>230</v>
      </c>
      <c r="C126" s="8" t="s">
        <v>21</v>
      </c>
      <c r="D126" s="7" t="s">
        <v>50</v>
      </c>
      <c r="E126" s="7" t="s">
        <v>225</v>
      </c>
      <c r="F126" s="7">
        <v>91000115</v>
      </c>
      <c r="G126" s="7" t="s">
        <v>52</v>
      </c>
      <c r="H126" s="7">
        <v>410000010</v>
      </c>
      <c r="I126" s="7" t="s">
        <v>53</v>
      </c>
      <c r="J126" s="9">
        <v>135000</v>
      </c>
      <c r="K126" s="10">
        <v>120</v>
      </c>
      <c r="L126" s="11" t="s">
        <v>26</v>
      </c>
      <c r="M126" s="8">
        <v>70</v>
      </c>
      <c r="N126" s="8">
        <v>10</v>
      </c>
      <c r="O126" s="8">
        <v>80</v>
      </c>
      <c r="P126" s="12">
        <v>0.78</v>
      </c>
      <c r="Q126" s="13">
        <v>96000</v>
      </c>
      <c r="R126" s="10">
        <v>14</v>
      </c>
      <c r="S126" s="10">
        <v>13</v>
      </c>
      <c r="T126" s="10">
        <v>1</v>
      </c>
      <c r="U126">
        <f t="shared" si="1"/>
        <v>60</v>
      </c>
    </row>
    <row r="127" spans="1:21" x14ac:dyDescent="0.25">
      <c r="A127" s="21">
        <v>910001401</v>
      </c>
      <c r="B127" s="7" t="s">
        <v>231</v>
      </c>
      <c r="C127" s="8" t="s">
        <v>21</v>
      </c>
      <c r="D127" s="7" t="s">
        <v>50</v>
      </c>
      <c r="E127" s="7" t="s">
        <v>217</v>
      </c>
      <c r="F127" s="7">
        <v>91200201</v>
      </c>
      <c r="G127" s="7" t="s">
        <v>209</v>
      </c>
      <c r="H127" s="7">
        <v>410000010</v>
      </c>
      <c r="I127" s="7" t="s">
        <v>53</v>
      </c>
      <c r="J127" s="9">
        <v>159800</v>
      </c>
      <c r="K127" s="10">
        <v>84</v>
      </c>
      <c r="L127" s="11" t="s">
        <v>26</v>
      </c>
      <c r="M127" s="8">
        <v>34</v>
      </c>
      <c r="N127" s="8">
        <v>54</v>
      </c>
      <c r="O127" s="8">
        <v>88</v>
      </c>
      <c r="P127" s="12">
        <v>0.49</v>
      </c>
      <c r="Q127" s="13">
        <v>52800</v>
      </c>
      <c r="R127" s="10">
        <v>11</v>
      </c>
      <c r="S127" s="10">
        <v>8</v>
      </c>
      <c r="T127" s="10">
        <v>3</v>
      </c>
      <c r="U127">
        <f t="shared" si="1"/>
        <v>99</v>
      </c>
    </row>
    <row r="128" spans="1:21" x14ac:dyDescent="0.25">
      <c r="A128" s="21">
        <v>910001402</v>
      </c>
      <c r="B128" s="7" t="s">
        <v>232</v>
      </c>
      <c r="C128" s="8" t="s">
        <v>21</v>
      </c>
      <c r="D128" s="7" t="s">
        <v>50</v>
      </c>
      <c r="E128" s="7" t="s">
        <v>217</v>
      </c>
      <c r="F128" s="7">
        <v>91200201</v>
      </c>
      <c r="G128" s="7" t="s">
        <v>209</v>
      </c>
      <c r="H128" s="7">
        <v>410000010</v>
      </c>
      <c r="I128" s="7" t="s">
        <v>53</v>
      </c>
      <c r="J128" s="9">
        <v>138000</v>
      </c>
      <c r="K128" s="10">
        <v>114</v>
      </c>
      <c r="L128" s="11" t="s">
        <v>26</v>
      </c>
      <c r="M128" s="8">
        <v>36</v>
      </c>
      <c r="N128" s="8">
        <v>52</v>
      </c>
      <c r="O128" s="8">
        <v>88</v>
      </c>
      <c r="P128" s="12">
        <v>0.68</v>
      </c>
      <c r="Q128" s="13">
        <v>88000</v>
      </c>
      <c r="R128" s="10">
        <v>13</v>
      </c>
      <c r="S128" s="10">
        <v>11</v>
      </c>
      <c r="T128" s="10">
        <v>2</v>
      </c>
      <c r="U128">
        <f t="shared" si="1"/>
        <v>78</v>
      </c>
    </row>
    <row r="129" spans="1:21" x14ac:dyDescent="0.25">
      <c r="A129" s="21">
        <v>910001403</v>
      </c>
      <c r="B129" s="7" t="s">
        <v>233</v>
      </c>
      <c r="C129" s="8" t="s">
        <v>21</v>
      </c>
      <c r="D129" s="7" t="s">
        <v>50</v>
      </c>
      <c r="E129" s="7" t="s">
        <v>222</v>
      </c>
      <c r="F129" s="7">
        <v>350003</v>
      </c>
      <c r="G129" s="7" t="s">
        <v>64</v>
      </c>
      <c r="H129" s="7">
        <v>410000010</v>
      </c>
      <c r="I129" s="7" t="s">
        <v>53</v>
      </c>
      <c r="J129" s="9">
        <v>112000</v>
      </c>
      <c r="K129" s="10">
        <v>155</v>
      </c>
      <c r="L129" s="11" t="s">
        <v>26</v>
      </c>
      <c r="M129" s="8">
        <v>54</v>
      </c>
      <c r="N129" s="8">
        <v>23</v>
      </c>
      <c r="O129" s="8">
        <v>77</v>
      </c>
      <c r="P129" s="12">
        <v>0.62</v>
      </c>
      <c r="Q129" s="13">
        <v>77000</v>
      </c>
      <c r="R129" s="10">
        <v>9</v>
      </c>
      <c r="S129" s="10">
        <v>8</v>
      </c>
      <c r="T129" s="10">
        <v>1</v>
      </c>
      <c r="U129">
        <f t="shared" si="1"/>
        <v>147</v>
      </c>
    </row>
    <row r="130" spans="1:21" x14ac:dyDescent="0.25">
      <c r="A130" s="21">
        <v>910001405</v>
      </c>
      <c r="B130" s="7" t="s">
        <v>234</v>
      </c>
      <c r="C130" s="8" t="s">
        <v>21</v>
      </c>
      <c r="D130" s="7" t="s">
        <v>50</v>
      </c>
      <c r="E130" s="7" t="s">
        <v>217</v>
      </c>
      <c r="F130" s="7">
        <v>91000103</v>
      </c>
      <c r="G130" s="7" t="s">
        <v>235</v>
      </c>
      <c r="H130" s="7">
        <v>410000010</v>
      </c>
      <c r="I130" s="7" t="s">
        <v>53</v>
      </c>
      <c r="J130" s="9">
        <v>120600</v>
      </c>
      <c r="K130" s="10">
        <v>141</v>
      </c>
      <c r="L130" s="11" t="s">
        <v>26</v>
      </c>
      <c r="M130" s="8">
        <v>56</v>
      </c>
      <c r="N130" s="8">
        <v>25</v>
      </c>
      <c r="O130" s="8">
        <v>81</v>
      </c>
      <c r="P130" s="12">
        <v>0.48</v>
      </c>
      <c r="Q130" s="13">
        <v>48600</v>
      </c>
      <c r="R130" s="10">
        <v>10</v>
      </c>
      <c r="S130" s="10">
        <v>8</v>
      </c>
      <c r="T130" s="10">
        <v>2</v>
      </c>
      <c r="U130">
        <f t="shared" ref="U130:U193" si="2">_xlfn.RANK.EQ(R130,$R$2:$R$309,0)
 + COUNTIFS($R$2:$R$309,R130,$B$2:$B$309,"&lt;"&amp;B130)</f>
        <v>115</v>
      </c>
    </row>
    <row r="131" spans="1:21" x14ac:dyDescent="0.25">
      <c r="A131" s="21">
        <v>910001406</v>
      </c>
      <c r="B131" s="7" t="s">
        <v>236</v>
      </c>
      <c r="C131" s="8" t="s">
        <v>21</v>
      </c>
      <c r="D131" s="7" t="s">
        <v>50</v>
      </c>
      <c r="E131" s="7" t="s">
        <v>217</v>
      </c>
      <c r="F131" s="7">
        <v>91000103</v>
      </c>
      <c r="G131" s="7" t="s">
        <v>235</v>
      </c>
      <c r="H131" s="7">
        <v>410000010</v>
      </c>
      <c r="I131" s="7" t="s">
        <v>53</v>
      </c>
      <c r="J131" s="9">
        <v>133600</v>
      </c>
      <c r="K131" s="10">
        <v>123</v>
      </c>
      <c r="L131" s="11" t="s">
        <v>26</v>
      </c>
      <c r="M131" s="8">
        <v>47</v>
      </c>
      <c r="N131" s="8">
        <v>30</v>
      </c>
      <c r="O131" s="8">
        <v>77</v>
      </c>
      <c r="P131" s="12">
        <v>0.56000000000000005</v>
      </c>
      <c r="Q131" s="13">
        <v>61600</v>
      </c>
      <c r="R131" s="10">
        <v>11</v>
      </c>
      <c r="S131" s="10">
        <v>9</v>
      </c>
      <c r="T131" s="10">
        <v>2</v>
      </c>
      <c r="U131">
        <f t="shared" si="2"/>
        <v>92</v>
      </c>
    </row>
    <row r="132" spans="1:21" x14ac:dyDescent="0.25">
      <c r="A132" s="21">
        <v>910001407</v>
      </c>
      <c r="B132" s="7" t="s">
        <v>237</v>
      </c>
      <c r="C132" s="8" t="s">
        <v>21</v>
      </c>
      <c r="D132" s="7" t="s">
        <v>50</v>
      </c>
      <c r="E132" s="7" t="s">
        <v>217</v>
      </c>
      <c r="F132" s="7">
        <v>91000103</v>
      </c>
      <c r="G132" s="7" t="s">
        <v>235</v>
      </c>
      <c r="H132" s="7">
        <v>410000010</v>
      </c>
      <c r="I132" s="7" t="s">
        <v>53</v>
      </c>
      <c r="J132" s="9">
        <v>28200</v>
      </c>
      <c r="K132" s="10">
        <v>250</v>
      </c>
      <c r="L132" s="11" t="s">
        <v>33</v>
      </c>
      <c r="M132" s="8">
        <v>32</v>
      </c>
      <c r="N132" s="8">
        <v>15</v>
      </c>
      <c r="O132" s="8">
        <v>47</v>
      </c>
      <c r="P132" s="12">
        <v>0.48</v>
      </c>
      <c r="Q132" s="13">
        <v>28200</v>
      </c>
      <c r="R132" s="10">
        <v>3</v>
      </c>
      <c r="S132" s="10">
        <v>4</v>
      </c>
      <c r="T132" s="10">
        <v>0</v>
      </c>
      <c r="U132">
        <f t="shared" si="2"/>
        <v>245</v>
      </c>
    </row>
    <row r="133" spans="1:21" x14ac:dyDescent="0.25">
      <c r="A133" s="21">
        <v>910001408</v>
      </c>
      <c r="B133" s="7" t="s">
        <v>238</v>
      </c>
      <c r="C133" s="8" t="s">
        <v>21</v>
      </c>
      <c r="D133" s="7" t="s">
        <v>50</v>
      </c>
      <c r="E133" s="7" t="s">
        <v>225</v>
      </c>
      <c r="F133" s="7">
        <v>91000112</v>
      </c>
      <c r="G133" s="7" t="s">
        <v>229</v>
      </c>
      <c r="H133" s="7">
        <v>410000010</v>
      </c>
      <c r="I133" s="7" t="s">
        <v>53</v>
      </c>
      <c r="J133" s="9">
        <v>66000</v>
      </c>
      <c r="K133" s="10">
        <v>210</v>
      </c>
      <c r="L133" s="11" t="s">
        <v>33</v>
      </c>
      <c r="M133" s="8">
        <v>36</v>
      </c>
      <c r="N133" s="8">
        <v>49</v>
      </c>
      <c r="O133" s="8">
        <v>85</v>
      </c>
      <c r="P133" s="12">
        <v>0.45</v>
      </c>
      <c r="Q133" s="13">
        <v>51000</v>
      </c>
      <c r="R133" s="10">
        <v>8</v>
      </c>
      <c r="S133" s="10">
        <v>5</v>
      </c>
      <c r="T133" s="10">
        <v>3</v>
      </c>
      <c r="U133">
        <f t="shared" si="2"/>
        <v>163</v>
      </c>
    </row>
    <row r="134" spans="1:21" x14ac:dyDescent="0.25">
      <c r="A134" s="21">
        <v>910001409</v>
      </c>
      <c r="B134" s="7" t="s">
        <v>239</v>
      </c>
      <c r="C134" s="8" t="s">
        <v>21</v>
      </c>
      <c r="D134" s="7" t="s">
        <v>50</v>
      </c>
      <c r="E134" s="7" t="s">
        <v>225</v>
      </c>
      <c r="F134" s="7">
        <v>91000112</v>
      </c>
      <c r="G134" s="7" t="s">
        <v>229</v>
      </c>
      <c r="H134" s="7">
        <v>410000010</v>
      </c>
      <c r="I134" s="7" t="s">
        <v>53</v>
      </c>
      <c r="J134" s="9">
        <v>45000</v>
      </c>
      <c r="K134" s="10">
        <v>232</v>
      </c>
      <c r="L134" s="11" t="s">
        <v>33</v>
      </c>
      <c r="M134" s="8">
        <v>23</v>
      </c>
      <c r="N134" s="8">
        <v>12</v>
      </c>
      <c r="O134" s="8">
        <v>35</v>
      </c>
      <c r="P134" s="12">
        <v>0.34</v>
      </c>
      <c r="Q134" s="13">
        <v>0</v>
      </c>
      <c r="R134" s="10">
        <v>4</v>
      </c>
      <c r="S134" s="10">
        <v>1</v>
      </c>
      <c r="T134" s="10">
        <v>3</v>
      </c>
      <c r="U134">
        <f t="shared" si="2"/>
        <v>233</v>
      </c>
    </row>
    <row r="135" spans="1:21" x14ac:dyDescent="0.25">
      <c r="A135" s="21">
        <v>910001412</v>
      </c>
      <c r="B135" s="7" t="s">
        <v>240</v>
      </c>
      <c r="C135" s="8" t="s">
        <v>21</v>
      </c>
      <c r="D135" s="7" t="s">
        <v>50</v>
      </c>
      <c r="E135" s="7" t="s">
        <v>241</v>
      </c>
      <c r="F135" s="7">
        <v>180039</v>
      </c>
      <c r="G135" s="7" t="s">
        <v>242</v>
      </c>
      <c r="H135" s="7">
        <v>410000010</v>
      </c>
      <c r="I135" s="7" t="s">
        <v>53</v>
      </c>
      <c r="J135" s="9">
        <v>196400</v>
      </c>
      <c r="K135" s="10">
        <v>64</v>
      </c>
      <c r="L135" s="11" t="s">
        <v>26</v>
      </c>
      <c r="M135" s="8">
        <v>74</v>
      </c>
      <c r="N135" s="8">
        <v>19</v>
      </c>
      <c r="O135" s="8">
        <v>93</v>
      </c>
      <c r="P135" s="12">
        <v>0.57999999999999996</v>
      </c>
      <c r="Q135" s="13">
        <v>74400</v>
      </c>
      <c r="R135" s="10">
        <v>11</v>
      </c>
      <c r="S135" s="10">
        <v>3</v>
      </c>
      <c r="T135" s="10">
        <v>8</v>
      </c>
      <c r="U135">
        <f t="shared" si="2"/>
        <v>111</v>
      </c>
    </row>
    <row r="136" spans="1:21" x14ac:dyDescent="0.25">
      <c r="A136" s="21">
        <v>910001413</v>
      </c>
      <c r="B136" s="7" t="s">
        <v>243</v>
      </c>
      <c r="C136" s="8" t="s">
        <v>21</v>
      </c>
      <c r="D136" s="7" t="s">
        <v>50</v>
      </c>
      <c r="E136" s="7" t="s">
        <v>56</v>
      </c>
      <c r="F136" s="7">
        <v>350013</v>
      </c>
      <c r="G136" s="7" t="s">
        <v>244</v>
      </c>
      <c r="H136" s="7">
        <v>410000010</v>
      </c>
      <c r="I136" s="7" t="s">
        <v>53</v>
      </c>
      <c r="J136" s="9">
        <v>157400</v>
      </c>
      <c r="K136" s="10">
        <v>89</v>
      </c>
      <c r="L136" s="11" t="s">
        <v>26</v>
      </c>
      <c r="M136" s="8">
        <v>75</v>
      </c>
      <c r="N136" s="8">
        <v>63</v>
      </c>
      <c r="O136" s="8">
        <v>138</v>
      </c>
      <c r="P136" s="12">
        <v>0.56999999999999995</v>
      </c>
      <c r="Q136" s="13">
        <v>110400</v>
      </c>
      <c r="R136" s="10">
        <v>13</v>
      </c>
      <c r="S136" s="10">
        <v>10</v>
      </c>
      <c r="T136" s="10">
        <v>3</v>
      </c>
      <c r="U136">
        <f t="shared" si="2"/>
        <v>74</v>
      </c>
    </row>
    <row r="137" spans="1:21" x14ac:dyDescent="0.25">
      <c r="A137" s="21">
        <v>910001414</v>
      </c>
      <c r="B137" s="7" t="s">
        <v>245</v>
      </c>
      <c r="C137" s="8" t="s">
        <v>21</v>
      </c>
      <c r="D137" s="7" t="s">
        <v>50</v>
      </c>
      <c r="E137" s="7" t="s">
        <v>241</v>
      </c>
      <c r="F137" s="7">
        <v>180039</v>
      </c>
      <c r="G137" s="7" t="s">
        <v>242</v>
      </c>
      <c r="H137" s="7">
        <v>410000010</v>
      </c>
      <c r="I137" s="7" t="s">
        <v>53</v>
      </c>
      <c r="J137" s="9">
        <v>200000</v>
      </c>
      <c r="K137" s="10">
        <v>58</v>
      </c>
      <c r="L137" s="11" t="s">
        <v>26</v>
      </c>
      <c r="M137" s="8">
        <v>81</v>
      </c>
      <c r="N137" s="8">
        <v>34</v>
      </c>
      <c r="O137" s="8">
        <v>115</v>
      </c>
      <c r="P137" s="12">
        <v>0.54</v>
      </c>
      <c r="Q137" s="13">
        <v>92000</v>
      </c>
      <c r="R137" s="10">
        <v>11</v>
      </c>
      <c r="S137" s="10">
        <v>7</v>
      </c>
      <c r="T137" s="10">
        <v>4</v>
      </c>
      <c r="U137">
        <f t="shared" si="2"/>
        <v>108</v>
      </c>
    </row>
    <row r="138" spans="1:21" x14ac:dyDescent="0.25">
      <c r="A138" s="21">
        <v>910001415</v>
      </c>
      <c r="B138" s="7" t="s">
        <v>246</v>
      </c>
      <c r="C138" s="8" t="s">
        <v>21</v>
      </c>
      <c r="D138" s="7" t="s">
        <v>50</v>
      </c>
      <c r="E138" s="7" t="s">
        <v>56</v>
      </c>
      <c r="F138" s="7">
        <v>350013</v>
      </c>
      <c r="G138" s="7" t="s">
        <v>244</v>
      </c>
      <c r="H138" s="7">
        <v>410000010</v>
      </c>
      <c r="I138" s="7" t="s">
        <v>53</v>
      </c>
      <c r="J138" s="9">
        <v>132000</v>
      </c>
      <c r="K138" s="10">
        <v>125</v>
      </c>
      <c r="L138" s="11" t="s">
        <v>26</v>
      </c>
      <c r="M138" s="8">
        <v>50</v>
      </c>
      <c r="N138" s="8">
        <v>22</v>
      </c>
      <c r="O138" s="8">
        <v>72</v>
      </c>
      <c r="P138" s="12">
        <v>0.6</v>
      </c>
      <c r="Q138" s="13">
        <v>72000</v>
      </c>
      <c r="R138" s="10">
        <v>8</v>
      </c>
      <c r="S138" s="10">
        <v>4</v>
      </c>
      <c r="T138" s="10">
        <v>4</v>
      </c>
      <c r="U138">
        <f t="shared" si="2"/>
        <v>159</v>
      </c>
    </row>
    <row r="139" spans="1:21" x14ac:dyDescent="0.25">
      <c r="A139" s="21">
        <v>910001416</v>
      </c>
      <c r="B139" s="7" t="s">
        <v>247</v>
      </c>
      <c r="C139" s="8" t="s">
        <v>21</v>
      </c>
      <c r="D139" s="7" t="s">
        <v>50</v>
      </c>
      <c r="E139" s="7" t="s">
        <v>222</v>
      </c>
      <c r="F139" s="7">
        <v>91000130</v>
      </c>
      <c r="G139" s="7" t="s">
        <v>248</v>
      </c>
      <c r="H139" s="7">
        <v>410000010</v>
      </c>
      <c r="I139" s="7" t="s">
        <v>53</v>
      </c>
      <c r="J139" s="9">
        <v>92000</v>
      </c>
      <c r="K139" s="10">
        <v>180</v>
      </c>
      <c r="L139" s="11" t="s">
        <v>33</v>
      </c>
      <c r="M139" s="8">
        <v>41</v>
      </c>
      <c r="N139" s="8">
        <v>36</v>
      </c>
      <c r="O139" s="8">
        <v>77</v>
      </c>
      <c r="P139" s="12">
        <v>0.37</v>
      </c>
      <c r="Q139" s="13">
        <v>0</v>
      </c>
      <c r="R139" s="10">
        <v>8</v>
      </c>
      <c r="S139" s="10">
        <v>2</v>
      </c>
      <c r="T139" s="10">
        <v>6</v>
      </c>
      <c r="U139">
        <f t="shared" si="2"/>
        <v>167</v>
      </c>
    </row>
    <row r="140" spans="1:21" x14ac:dyDescent="0.25">
      <c r="A140" s="21">
        <v>910001417</v>
      </c>
      <c r="B140" s="7" t="s">
        <v>249</v>
      </c>
      <c r="C140" s="8" t="s">
        <v>21</v>
      </c>
      <c r="D140" s="7" t="s">
        <v>50</v>
      </c>
      <c r="E140" s="7" t="s">
        <v>241</v>
      </c>
      <c r="F140" s="7">
        <v>180039</v>
      </c>
      <c r="G140" s="7" t="s">
        <v>242</v>
      </c>
      <c r="H140" s="7">
        <v>410000010</v>
      </c>
      <c r="I140" s="7" t="s">
        <v>53</v>
      </c>
      <c r="J140" s="9">
        <v>32000</v>
      </c>
      <c r="K140" s="10">
        <v>246</v>
      </c>
      <c r="L140" s="11" t="s">
        <v>33</v>
      </c>
      <c r="M140" s="8">
        <v>30</v>
      </c>
      <c r="N140" s="8">
        <v>10</v>
      </c>
      <c r="O140" s="8">
        <v>40</v>
      </c>
      <c r="P140" s="12">
        <v>0.56999999999999995</v>
      </c>
      <c r="Q140" s="13">
        <v>32000</v>
      </c>
      <c r="R140" s="10">
        <v>4</v>
      </c>
      <c r="S140" s="10">
        <v>4</v>
      </c>
      <c r="T140" s="10">
        <v>0</v>
      </c>
      <c r="U140">
        <f t="shared" si="2"/>
        <v>221</v>
      </c>
    </row>
    <row r="141" spans="1:21" x14ac:dyDescent="0.25">
      <c r="A141" s="21">
        <v>910001418</v>
      </c>
      <c r="B141" s="7" t="s">
        <v>250</v>
      </c>
      <c r="C141" s="8" t="s">
        <v>21</v>
      </c>
      <c r="D141" s="7" t="s">
        <v>50</v>
      </c>
      <c r="E141" s="7" t="s">
        <v>222</v>
      </c>
      <c r="F141" s="7">
        <v>91000130</v>
      </c>
      <c r="G141" s="7" t="s">
        <v>248</v>
      </c>
      <c r="H141" s="7">
        <v>410000010</v>
      </c>
      <c r="I141" s="7" t="s">
        <v>53</v>
      </c>
      <c r="J141" s="9">
        <v>189000</v>
      </c>
      <c r="K141" s="10">
        <v>66</v>
      </c>
      <c r="L141" s="11" t="s">
        <v>26</v>
      </c>
      <c r="M141" s="8">
        <v>73</v>
      </c>
      <c r="N141" s="8">
        <v>32</v>
      </c>
      <c r="O141" s="8">
        <v>105</v>
      </c>
      <c r="P141" s="12">
        <v>0.56999999999999995</v>
      </c>
      <c r="Q141" s="13">
        <v>84000</v>
      </c>
      <c r="R141" s="10">
        <v>14</v>
      </c>
      <c r="S141" s="10">
        <v>7</v>
      </c>
      <c r="T141" s="10">
        <v>7</v>
      </c>
      <c r="U141">
        <f t="shared" si="2"/>
        <v>58</v>
      </c>
    </row>
    <row r="142" spans="1:21" x14ac:dyDescent="0.25">
      <c r="A142" s="21">
        <v>910001419</v>
      </c>
      <c r="B142" s="7" t="s">
        <v>251</v>
      </c>
      <c r="C142" s="8" t="s">
        <v>21</v>
      </c>
      <c r="D142" s="7" t="s">
        <v>50</v>
      </c>
      <c r="E142" s="7" t="s">
        <v>222</v>
      </c>
      <c r="F142" s="7">
        <v>91000130</v>
      </c>
      <c r="G142" s="7" t="s">
        <v>248</v>
      </c>
      <c r="H142" s="7">
        <v>410000010</v>
      </c>
      <c r="I142" s="7" t="s">
        <v>53</v>
      </c>
      <c r="J142" s="9">
        <v>101400</v>
      </c>
      <c r="K142" s="10">
        <v>172</v>
      </c>
      <c r="L142" s="11" t="s">
        <v>26</v>
      </c>
      <c r="M142" s="8">
        <v>34</v>
      </c>
      <c r="N142" s="8">
        <v>35</v>
      </c>
      <c r="O142" s="8">
        <v>69</v>
      </c>
      <c r="P142" s="12">
        <v>0.42</v>
      </c>
      <c r="Q142" s="13">
        <v>41400</v>
      </c>
      <c r="R142" s="10">
        <v>5</v>
      </c>
      <c r="S142" s="10">
        <v>1</v>
      </c>
      <c r="T142" s="10">
        <v>4</v>
      </c>
      <c r="U142">
        <f t="shared" si="2"/>
        <v>210</v>
      </c>
    </row>
    <row r="143" spans="1:21" x14ac:dyDescent="0.25">
      <c r="A143" s="21">
        <v>910004104</v>
      </c>
      <c r="B143" s="7" t="s">
        <v>252</v>
      </c>
      <c r="C143" s="8" t="s">
        <v>21</v>
      </c>
      <c r="D143" s="7" t="s">
        <v>50</v>
      </c>
      <c r="E143" s="7" t="s">
        <v>225</v>
      </c>
      <c r="F143" s="7">
        <v>91000115</v>
      </c>
      <c r="G143" s="7" t="s">
        <v>52</v>
      </c>
      <c r="H143" s="7">
        <v>410000010</v>
      </c>
      <c r="I143" s="7" t="s">
        <v>53</v>
      </c>
      <c r="J143" s="9">
        <v>268000</v>
      </c>
      <c r="K143" s="10">
        <v>29</v>
      </c>
      <c r="L143" s="11" t="s">
        <v>26</v>
      </c>
      <c r="M143" s="8">
        <v>132</v>
      </c>
      <c r="N143" s="8">
        <v>33</v>
      </c>
      <c r="O143" s="8">
        <v>165</v>
      </c>
      <c r="P143" s="12">
        <v>0.8</v>
      </c>
      <c r="Q143" s="13">
        <v>198000</v>
      </c>
      <c r="R143" s="10">
        <v>21</v>
      </c>
      <c r="S143" s="10">
        <v>19</v>
      </c>
      <c r="T143" s="10">
        <v>2</v>
      </c>
      <c r="U143">
        <f t="shared" si="2"/>
        <v>16</v>
      </c>
    </row>
    <row r="144" spans="1:21" x14ac:dyDescent="0.25">
      <c r="A144" s="21">
        <v>920000122</v>
      </c>
      <c r="B144" s="7" t="s">
        <v>253</v>
      </c>
      <c r="C144" s="8" t="s">
        <v>21</v>
      </c>
      <c r="D144" s="7" t="s">
        <v>137</v>
      </c>
      <c r="E144" s="7" t="s">
        <v>254</v>
      </c>
      <c r="F144" s="7">
        <v>92000118</v>
      </c>
      <c r="G144" s="7" t="s">
        <v>255</v>
      </c>
      <c r="H144" s="7">
        <v>302010269</v>
      </c>
      <c r="I144" s="7" t="s">
        <v>140</v>
      </c>
      <c r="J144" s="9">
        <v>30000</v>
      </c>
      <c r="K144" s="10">
        <v>249</v>
      </c>
      <c r="L144" s="11" t="s">
        <v>33</v>
      </c>
      <c r="M144" s="8">
        <v>21</v>
      </c>
      <c r="N144" s="8">
        <v>14</v>
      </c>
      <c r="O144" s="8">
        <v>35</v>
      </c>
      <c r="P144" s="12">
        <v>0.37</v>
      </c>
      <c r="Q144" s="13">
        <v>0</v>
      </c>
      <c r="R144" s="10">
        <v>4</v>
      </c>
      <c r="S144" s="10">
        <v>2</v>
      </c>
      <c r="T144" s="10">
        <v>2</v>
      </c>
      <c r="U144">
        <f t="shared" si="2"/>
        <v>227</v>
      </c>
    </row>
    <row r="145" spans="1:21" x14ac:dyDescent="0.25">
      <c r="A145" s="21">
        <v>920000125</v>
      </c>
      <c r="B145" s="7" t="s">
        <v>256</v>
      </c>
      <c r="C145" s="8" t="s">
        <v>21</v>
      </c>
      <c r="D145" s="7" t="s">
        <v>137</v>
      </c>
      <c r="E145" s="7" t="s">
        <v>257</v>
      </c>
      <c r="F145" s="7">
        <v>92000129</v>
      </c>
      <c r="G145" s="7" t="s">
        <v>258</v>
      </c>
      <c r="H145" s="7">
        <v>302010269</v>
      </c>
      <c r="I145" s="7" t="s">
        <v>140</v>
      </c>
      <c r="J145" s="9">
        <v>156400</v>
      </c>
      <c r="K145" s="10">
        <v>90</v>
      </c>
      <c r="L145" s="11" t="s">
        <v>26</v>
      </c>
      <c r="M145" s="8">
        <v>35</v>
      </c>
      <c r="N145" s="8">
        <v>37</v>
      </c>
      <c r="O145" s="8">
        <v>72</v>
      </c>
      <c r="P145" s="12">
        <v>0.78</v>
      </c>
      <c r="Q145" s="13">
        <v>86400</v>
      </c>
      <c r="R145" s="10">
        <v>9</v>
      </c>
      <c r="S145" s="10">
        <v>7</v>
      </c>
      <c r="T145" s="10">
        <v>2</v>
      </c>
      <c r="U145">
        <f t="shared" si="2"/>
        <v>139</v>
      </c>
    </row>
    <row r="146" spans="1:21" x14ac:dyDescent="0.25">
      <c r="A146" s="21">
        <v>920000127</v>
      </c>
      <c r="B146" s="7" t="s">
        <v>259</v>
      </c>
      <c r="C146" s="8" t="s">
        <v>21</v>
      </c>
      <c r="D146" s="7" t="s">
        <v>137</v>
      </c>
      <c r="E146" s="7" t="s">
        <v>257</v>
      </c>
      <c r="F146" s="7">
        <v>92000129</v>
      </c>
      <c r="G146" s="7" t="s">
        <v>258</v>
      </c>
      <c r="H146" s="7">
        <v>302010269</v>
      </c>
      <c r="I146" s="7" t="s">
        <v>140</v>
      </c>
      <c r="J146" s="9">
        <v>138000</v>
      </c>
      <c r="K146" s="10">
        <v>114</v>
      </c>
      <c r="L146" s="11" t="s">
        <v>26</v>
      </c>
      <c r="M146" s="8">
        <v>46</v>
      </c>
      <c r="N146" s="8">
        <v>22</v>
      </c>
      <c r="O146" s="8">
        <v>68</v>
      </c>
      <c r="P146" s="12">
        <v>0.64</v>
      </c>
      <c r="Q146" s="13">
        <v>68000</v>
      </c>
      <c r="R146" s="10">
        <v>8</v>
      </c>
      <c r="S146" s="10">
        <v>6</v>
      </c>
      <c r="T146" s="10">
        <v>2</v>
      </c>
      <c r="U146">
        <f t="shared" si="2"/>
        <v>155</v>
      </c>
    </row>
    <row r="147" spans="1:21" x14ac:dyDescent="0.25">
      <c r="A147" s="21">
        <v>920000132</v>
      </c>
      <c r="B147" s="7" t="s">
        <v>260</v>
      </c>
      <c r="C147" s="8" t="s">
        <v>21</v>
      </c>
      <c r="D147" s="7" t="s">
        <v>137</v>
      </c>
      <c r="E147" s="7" t="s">
        <v>257</v>
      </c>
      <c r="F147" s="7">
        <v>92000129</v>
      </c>
      <c r="G147" s="7" t="s">
        <v>258</v>
      </c>
      <c r="H147" s="7">
        <v>302010269</v>
      </c>
      <c r="I147" s="7" t="s">
        <v>140</v>
      </c>
      <c r="J147" s="9">
        <v>140000</v>
      </c>
      <c r="K147" s="10">
        <v>112</v>
      </c>
      <c r="L147" s="11" t="s">
        <v>26</v>
      </c>
      <c r="M147" s="8">
        <v>43</v>
      </c>
      <c r="N147" s="8">
        <v>27</v>
      </c>
      <c r="O147" s="8">
        <v>70</v>
      </c>
      <c r="P147" s="12">
        <v>0.67</v>
      </c>
      <c r="Q147" s="13">
        <v>70000</v>
      </c>
      <c r="R147" s="10">
        <v>10</v>
      </c>
      <c r="S147" s="10">
        <v>8</v>
      </c>
      <c r="T147" s="10">
        <v>2</v>
      </c>
      <c r="U147">
        <f t="shared" si="2"/>
        <v>124</v>
      </c>
    </row>
    <row r="148" spans="1:21" x14ac:dyDescent="0.25">
      <c r="A148" s="21">
        <v>920000134</v>
      </c>
      <c r="B148" s="7" t="s">
        <v>261</v>
      </c>
      <c r="C148" s="8" t="s">
        <v>21</v>
      </c>
      <c r="D148" s="7" t="s">
        <v>137</v>
      </c>
      <c r="E148" s="7" t="s">
        <v>254</v>
      </c>
      <c r="F148" s="7">
        <v>92000118</v>
      </c>
      <c r="G148" s="7" t="s">
        <v>255</v>
      </c>
      <c r="H148" s="7">
        <v>302010269</v>
      </c>
      <c r="I148" s="7" t="s">
        <v>140</v>
      </c>
      <c r="J148" s="9">
        <v>106000</v>
      </c>
      <c r="K148" s="10">
        <v>164</v>
      </c>
      <c r="L148" s="11" t="s">
        <v>26</v>
      </c>
      <c r="M148" s="8">
        <v>21</v>
      </c>
      <c r="N148" s="8">
        <v>13</v>
      </c>
      <c r="O148" s="8">
        <v>34</v>
      </c>
      <c r="P148" s="12">
        <v>0.67</v>
      </c>
      <c r="Q148" s="13">
        <v>34000</v>
      </c>
      <c r="R148" s="10">
        <v>5</v>
      </c>
      <c r="S148" s="10">
        <v>3</v>
      </c>
      <c r="T148" s="10">
        <v>2</v>
      </c>
      <c r="U148">
        <f t="shared" si="2"/>
        <v>213</v>
      </c>
    </row>
    <row r="149" spans="1:21" x14ac:dyDescent="0.25">
      <c r="A149" s="21">
        <v>920000137</v>
      </c>
      <c r="B149" s="7" t="s">
        <v>262</v>
      </c>
      <c r="C149" s="8" t="s">
        <v>21</v>
      </c>
      <c r="D149" s="7" t="s">
        <v>137</v>
      </c>
      <c r="E149" s="7" t="s">
        <v>254</v>
      </c>
      <c r="F149" s="7">
        <v>92000118</v>
      </c>
      <c r="G149" s="7" t="s">
        <v>255</v>
      </c>
      <c r="H149" s="7">
        <v>302010269</v>
      </c>
      <c r="I149" s="7" t="s">
        <v>140</v>
      </c>
      <c r="J149" s="9">
        <v>15800</v>
      </c>
      <c r="K149" s="10">
        <v>257</v>
      </c>
      <c r="L149" s="11" t="s">
        <v>33</v>
      </c>
      <c r="M149" s="8">
        <v>10</v>
      </c>
      <c r="N149" s="8">
        <v>13</v>
      </c>
      <c r="O149" s="8">
        <v>23</v>
      </c>
      <c r="P149" s="12">
        <v>0.45</v>
      </c>
      <c r="Q149" s="13">
        <v>13800</v>
      </c>
      <c r="R149" s="10">
        <v>1</v>
      </c>
      <c r="S149" s="10">
        <v>2</v>
      </c>
      <c r="T149" s="10">
        <v>0</v>
      </c>
      <c r="U149">
        <f t="shared" si="2"/>
        <v>264</v>
      </c>
    </row>
    <row r="150" spans="1:21" x14ac:dyDescent="0.25">
      <c r="A150" s="21">
        <v>920000139</v>
      </c>
      <c r="B150" s="7" t="s">
        <v>263</v>
      </c>
      <c r="C150" s="8" t="s">
        <v>21</v>
      </c>
      <c r="D150" s="7" t="s">
        <v>137</v>
      </c>
      <c r="E150" s="7" t="s">
        <v>254</v>
      </c>
      <c r="F150" s="7">
        <v>92000118</v>
      </c>
      <c r="G150" s="7" t="s">
        <v>255</v>
      </c>
      <c r="H150" s="7">
        <v>302010269</v>
      </c>
      <c r="I150" s="7" t="s">
        <v>140</v>
      </c>
      <c r="J150" s="9">
        <v>5000</v>
      </c>
      <c r="K150" s="10">
        <v>266</v>
      </c>
      <c r="L150" s="11" t="s">
        <v>33</v>
      </c>
      <c r="M150" s="8">
        <v>5</v>
      </c>
      <c r="N150" s="8">
        <v>0</v>
      </c>
      <c r="O150" s="8">
        <v>5</v>
      </c>
      <c r="P150" s="12">
        <v>0</v>
      </c>
      <c r="Q150" s="13">
        <v>0</v>
      </c>
      <c r="R150" s="10">
        <v>1</v>
      </c>
      <c r="S150" s="10">
        <v>0</v>
      </c>
      <c r="T150" s="10">
        <v>1</v>
      </c>
      <c r="U150">
        <f t="shared" si="2"/>
        <v>262</v>
      </c>
    </row>
    <row r="151" spans="1:21" x14ac:dyDescent="0.25">
      <c r="A151" s="21">
        <v>920000163</v>
      </c>
      <c r="B151" s="7" t="s">
        <v>264</v>
      </c>
      <c r="C151" s="8" t="s">
        <v>21</v>
      </c>
      <c r="D151" s="7" t="s">
        <v>137</v>
      </c>
      <c r="E151" s="7" t="s">
        <v>142</v>
      </c>
      <c r="F151" s="7">
        <v>92000112</v>
      </c>
      <c r="G151" s="7" t="s">
        <v>143</v>
      </c>
      <c r="H151" s="7">
        <v>302010269</v>
      </c>
      <c r="I151" s="7" t="s">
        <v>140</v>
      </c>
      <c r="J151" s="9">
        <v>45000</v>
      </c>
      <c r="K151" s="10">
        <v>232</v>
      </c>
      <c r="L151" s="11" t="s">
        <v>33</v>
      </c>
      <c r="M151" s="8">
        <v>29</v>
      </c>
      <c r="N151" s="8">
        <v>15</v>
      </c>
      <c r="O151" s="8">
        <v>44</v>
      </c>
      <c r="P151" s="12">
        <v>0.38</v>
      </c>
      <c r="Q151" s="13">
        <v>0</v>
      </c>
      <c r="R151" s="10">
        <v>4</v>
      </c>
      <c r="S151" s="10">
        <v>1</v>
      </c>
      <c r="T151" s="10">
        <v>3</v>
      </c>
      <c r="U151">
        <f t="shared" si="2"/>
        <v>231</v>
      </c>
    </row>
    <row r="152" spans="1:21" x14ac:dyDescent="0.25">
      <c r="A152" s="21">
        <v>920000165</v>
      </c>
      <c r="B152" s="7" t="s">
        <v>265</v>
      </c>
      <c r="C152" s="8" t="s">
        <v>21</v>
      </c>
      <c r="D152" s="7" t="s">
        <v>137</v>
      </c>
      <c r="E152" s="7" t="s">
        <v>142</v>
      </c>
      <c r="F152" s="7">
        <v>92000112</v>
      </c>
      <c r="G152" s="7" t="s">
        <v>143</v>
      </c>
      <c r="H152" s="7">
        <v>302010269</v>
      </c>
      <c r="I152" s="7" t="s">
        <v>140</v>
      </c>
      <c r="J152" s="9">
        <v>124600</v>
      </c>
      <c r="K152" s="10">
        <v>135</v>
      </c>
      <c r="L152" s="11" t="s">
        <v>26</v>
      </c>
      <c r="M152" s="8">
        <v>36</v>
      </c>
      <c r="N152" s="8">
        <v>26</v>
      </c>
      <c r="O152" s="8">
        <v>62</v>
      </c>
      <c r="P152" s="12">
        <v>0.54</v>
      </c>
      <c r="Q152" s="13">
        <v>49600</v>
      </c>
      <c r="R152" s="10">
        <v>9</v>
      </c>
      <c r="S152" s="10">
        <v>4</v>
      </c>
      <c r="T152" s="10">
        <v>5</v>
      </c>
      <c r="U152">
        <f t="shared" si="2"/>
        <v>132</v>
      </c>
    </row>
    <row r="153" spans="1:21" x14ac:dyDescent="0.25">
      <c r="A153" s="21">
        <v>920000167</v>
      </c>
      <c r="B153" s="7" t="s">
        <v>266</v>
      </c>
      <c r="C153" s="8" t="s">
        <v>21</v>
      </c>
      <c r="D153" s="7" t="s">
        <v>137</v>
      </c>
      <c r="E153" s="7" t="s">
        <v>267</v>
      </c>
      <c r="F153" s="7">
        <v>302020003</v>
      </c>
      <c r="G153" s="7" t="s">
        <v>268</v>
      </c>
      <c r="H153" s="7">
        <v>302010269</v>
      </c>
      <c r="I153" s="7" t="s">
        <v>140</v>
      </c>
      <c r="J153" s="9">
        <v>33400</v>
      </c>
      <c r="K153" s="10">
        <v>243</v>
      </c>
      <c r="L153" s="11" t="s">
        <v>33</v>
      </c>
      <c r="M153" s="8">
        <v>28</v>
      </c>
      <c r="N153" s="8">
        <v>11</v>
      </c>
      <c r="O153" s="8">
        <v>39</v>
      </c>
      <c r="P153" s="12">
        <v>0.48</v>
      </c>
      <c r="Q153" s="13">
        <v>23400</v>
      </c>
      <c r="R153" s="10">
        <v>2</v>
      </c>
      <c r="S153" s="10">
        <v>0</v>
      </c>
      <c r="T153" s="10">
        <v>2</v>
      </c>
      <c r="U153">
        <f t="shared" si="2"/>
        <v>252</v>
      </c>
    </row>
    <row r="154" spans="1:21" x14ac:dyDescent="0.25">
      <c r="A154" s="21">
        <v>920000175</v>
      </c>
      <c r="B154" s="7" t="s">
        <v>269</v>
      </c>
      <c r="C154" s="8" t="s">
        <v>21</v>
      </c>
      <c r="D154" s="7" t="s">
        <v>137</v>
      </c>
      <c r="E154" s="7" t="s">
        <v>267</v>
      </c>
      <c r="F154" s="7">
        <v>302020003</v>
      </c>
      <c r="G154" s="7" t="s">
        <v>268</v>
      </c>
      <c r="H154" s="7">
        <v>302010269</v>
      </c>
      <c r="I154" s="7" t="s">
        <v>140</v>
      </c>
      <c r="J154" s="9">
        <v>0</v>
      </c>
      <c r="K154" s="10">
        <v>274</v>
      </c>
      <c r="L154" s="11" t="s">
        <v>33</v>
      </c>
      <c r="M154" s="8">
        <v>3</v>
      </c>
      <c r="N154" s="8">
        <v>0</v>
      </c>
      <c r="O154" s="8">
        <v>3</v>
      </c>
      <c r="P154" s="12">
        <v>0</v>
      </c>
      <c r="Q154" s="13">
        <v>0</v>
      </c>
      <c r="R154" s="10">
        <v>0</v>
      </c>
      <c r="S154" s="10">
        <v>0</v>
      </c>
      <c r="T154" s="10">
        <v>0</v>
      </c>
      <c r="U154">
        <f t="shared" si="2"/>
        <v>293</v>
      </c>
    </row>
    <row r="155" spans="1:21" x14ac:dyDescent="0.25">
      <c r="A155" s="21">
        <v>920000342</v>
      </c>
      <c r="B155" s="7" t="s">
        <v>270</v>
      </c>
      <c r="C155" s="8" t="s">
        <v>21</v>
      </c>
      <c r="D155" s="7" t="s">
        <v>91</v>
      </c>
      <c r="E155" s="7" t="s">
        <v>271</v>
      </c>
      <c r="F155" s="7">
        <v>920000341</v>
      </c>
      <c r="G155" s="7" t="s">
        <v>272</v>
      </c>
      <c r="H155" s="7">
        <v>410000011</v>
      </c>
      <c r="I155" s="7" t="s">
        <v>94</v>
      </c>
      <c r="J155" s="9">
        <v>38000</v>
      </c>
      <c r="K155" s="10">
        <v>240</v>
      </c>
      <c r="L155" s="11" t="s">
        <v>33</v>
      </c>
      <c r="M155" s="8">
        <v>18</v>
      </c>
      <c r="N155" s="8">
        <v>22</v>
      </c>
      <c r="O155" s="8">
        <v>40</v>
      </c>
      <c r="P155" s="12">
        <v>0.48</v>
      </c>
      <c r="Q155" s="13">
        <v>24000</v>
      </c>
      <c r="R155" s="10">
        <v>3</v>
      </c>
      <c r="S155" s="10">
        <v>1</v>
      </c>
      <c r="T155" s="10">
        <v>2</v>
      </c>
      <c r="U155">
        <f t="shared" si="2"/>
        <v>243</v>
      </c>
    </row>
    <row r="156" spans="1:21" x14ac:dyDescent="0.25">
      <c r="A156" s="21">
        <v>92000106</v>
      </c>
      <c r="B156" s="7" t="s">
        <v>273</v>
      </c>
      <c r="C156" s="8" t="s">
        <v>21</v>
      </c>
      <c r="D156" s="7" t="s">
        <v>91</v>
      </c>
      <c r="E156" s="7" t="s">
        <v>92</v>
      </c>
      <c r="F156" s="7">
        <v>92000107</v>
      </c>
      <c r="G156" s="7" t="s">
        <v>274</v>
      </c>
      <c r="H156" s="7">
        <v>410000011</v>
      </c>
      <c r="I156" s="7" t="s">
        <v>94</v>
      </c>
      <c r="J156" s="9">
        <v>24000</v>
      </c>
      <c r="K156" s="10">
        <v>253</v>
      </c>
      <c r="L156" s="11" t="s">
        <v>33</v>
      </c>
      <c r="M156" s="8">
        <v>36</v>
      </c>
      <c r="N156" s="8">
        <v>26</v>
      </c>
      <c r="O156" s="8">
        <v>62</v>
      </c>
      <c r="P156" s="12">
        <v>0.39</v>
      </c>
      <c r="Q156" s="13">
        <v>0</v>
      </c>
      <c r="R156" s="10">
        <v>4</v>
      </c>
      <c r="S156" s="10">
        <v>0</v>
      </c>
      <c r="T156" s="10">
        <v>4</v>
      </c>
      <c r="U156">
        <f t="shared" si="2"/>
        <v>230</v>
      </c>
    </row>
    <row r="157" spans="1:21" x14ac:dyDescent="0.25">
      <c r="A157" s="21">
        <v>92000110</v>
      </c>
      <c r="B157" s="7" t="s">
        <v>275</v>
      </c>
      <c r="C157" s="8" t="s">
        <v>21</v>
      </c>
      <c r="D157" s="7" t="s">
        <v>91</v>
      </c>
      <c r="E157" s="7" t="s">
        <v>92</v>
      </c>
      <c r="F157" s="7">
        <v>92000107</v>
      </c>
      <c r="G157" s="7" t="s">
        <v>274</v>
      </c>
      <c r="H157" s="7">
        <v>410000011</v>
      </c>
      <c r="I157" s="7" t="s">
        <v>94</v>
      </c>
      <c r="J157" s="9">
        <v>30800</v>
      </c>
      <c r="K157" s="10">
        <v>248</v>
      </c>
      <c r="L157" s="11" t="s">
        <v>33</v>
      </c>
      <c r="M157" s="8">
        <v>11</v>
      </c>
      <c r="N157" s="8">
        <v>17</v>
      </c>
      <c r="O157" s="8">
        <v>28</v>
      </c>
      <c r="P157" s="12">
        <v>0.44</v>
      </c>
      <c r="Q157" s="13">
        <v>16800</v>
      </c>
      <c r="R157" s="10">
        <v>2</v>
      </c>
      <c r="S157" s="10">
        <v>0</v>
      </c>
      <c r="T157" s="10">
        <v>2</v>
      </c>
      <c r="U157">
        <f t="shared" si="2"/>
        <v>258</v>
      </c>
    </row>
    <row r="158" spans="1:21" x14ac:dyDescent="0.25">
      <c r="A158" s="21">
        <v>92000113</v>
      </c>
      <c r="B158" s="7" t="s">
        <v>276</v>
      </c>
      <c r="C158" s="8" t="s">
        <v>21</v>
      </c>
      <c r="D158" s="7" t="s">
        <v>137</v>
      </c>
      <c r="E158" s="7" t="s">
        <v>277</v>
      </c>
      <c r="F158" s="7">
        <v>302020003</v>
      </c>
      <c r="G158" s="7" t="s">
        <v>268</v>
      </c>
      <c r="H158" s="7">
        <v>302010269</v>
      </c>
      <c r="I158" s="7" t="s">
        <v>140</v>
      </c>
      <c r="J158" s="9">
        <v>113000</v>
      </c>
      <c r="K158" s="10">
        <v>152</v>
      </c>
      <c r="L158" s="11" t="s">
        <v>26</v>
      </c>
      <c r="M158" s="8">
        <v>51</v>
      </c>
      <c r="N158" s="8">
        <v>36</v>
      </c>
      <c r="O158" s="8">
        <v>87</v>
      </c>
      <c r="P158" s="12">
        <v>0.4</v>
      </c>
      <c r="Q158" s="13">
        <v>0</v>
      </c>
      <c r="R158" s="10">
        <v>9</v>
      </c>
      <c r="S158" s="10">
        <v>2</v>
      </c>
      <c r="T158" s="10">
        <v>7</v>
      </c>
      <c r="U158">
        <f t="shared" si="2"/>
        <v>143</v>
      </c>
    </row>
    <row r="159" spans="1:21" x14ac:dyDescent="0.25">
      <c r="A159" s="21">
        <v>92000122</v>
      </c>
      <c r="B159" s="7" t="s">
        <v>278</v>
      </c>
      <c r="C159" s="8" t="s">
        <v>21</v>
      </c>
      <c r="D159" s="7" t="s">
        <v>137</v>
      </c>
      <c r="E159" s="7" t="s">
        <v>277</v>
      </c>
      <c r="F159" s="7">
        <v>302020003</v>
      </c>
      <c r="G159" s="7" t="s">
        <v>268</v>
      </c>
      <c r="H159" s="7">
        <v>302010269</v>
      </c>
      <c r="I159" s="7" t="s">
        <v>140</v>
      </c>
      <c r="J159" s="9">
        <v>45000</v>
      </c>
      <c r="K159" s="10">
        <v>232</v>
      </c>
      <c r="L159" s="11" t="s">
        <v>33</v>
      </c>
      <c r="M159" s="8">
        <v>48</v>
      </c>
      <c r="N159" s="8">
        <v>36</v>
      </c>
      <c r="O159" s="8">
        <v>84</v>
      </c>
      <c r="P159" s="12">
        <v>0.39</v>
      </c>
      <c r="Q159" s="14">
        <v>0</v>
      </c>
      <c r="R159" s="10">
        <v>6</v>
      </c>
      <c r="S159" s="10">
        <v>3</v>
      </c>
      <c r="T159" s="10">
        <v>3</v>
      </c>
      <c r="U159">
        <f t="shared" si="2"/>
        <v>191</v>
      </c>
    </row>
    <row r="160" spans="1:21" x14ac:dyDescent="0.25">
      <c r="A160" s="21">
        <v>92000130</v>
      </c>
      <c r="B160" s="7" t="s">
        <v>279</v>
      </c>
      <c r="C160" s="8" t="s">
        <v>21</v>
      </c>
      <c r="D160" s="7" t="s">
        <v>137</v>
      </c>
      <c r="E160" s="7" t="s">
        <v>254</v>
      </c>
      <c r="F160" s="7">
        <v>92000118</v>
      </c>
      <c r="G160" s="7" t="s">
        <v>255</v>
      </c>
      <c r="H160" s="7">
        <v>302010269</v>
      </c>
      <c r="I160" s="7" t="s">
        <v>140</v>
      </c>
      <c r="J160" s="9">
        <v>112200</v>
      </c>
      <c r="K160" s="10">
        <v>154</v>
      </c>
      <c r="L160" s="11" t="s">
        <v>26</v>
      </c>
      <c r="M160" s="8">
        <v>51</v>
      </c>
      <c r="N160" s="8">
        <v>36</v>
      </c>
      <c r="O160" s="8">
        <v>87</v>
      </c>
      <c r="P160" s="12">
        <v>0.45</v>
      </c>
      <c r="Q160" s="13">
        <v>52200</v>
      </c>
      <c r="R160" s="10">
        <v>6</v>
      </c>
      <c r="S160" s="10">
        <v>2</v>
      </c>
      <c r="T160" s="10">
        <v>4</v>
      </c>
      <c r="U160">
        <f t="shared" si="2"/>
        <v>186</v>
      </c>
    </row>
    <row r="161" spans="1:21" x14ac:dyDescent="0.25">
      <c r="A161" s="21">
        <v>920001302</v>
      </c>
      <c r="B161" s="7" t="s">
        <v>280</v>
      </c>
      <c r="C161" s="8" t="s">
        <v>21</v>
      </c>
      <c r="D161" s="7" t="s">
        <v>137</v>
      </c>
      <c r="E161" s="7" t="s">
        <v>254</v>
      </c>
      <c r="F161" s="7">
        <v>92000118</v>
      </c>
      <c r="G161" s="7" t="s">
        <v>255</v>
      </c>
      <c r="H161" s="7">
        <v>302010269</v>
      </c>
      <c r="I161" s="7" t="s">
        <v>140</v>
      </c>
      <c r="J161" s="9">
        <v>133600</v>
      </c>
      <c r="K161" s="10">
        <v>123</v>
      </c>
      <c r="L161" s="11" t="s">
        <v>26</v>
      </c>
      <c r="M161" s="8">
        <v>31</v>
      </c>
      <c r="N161" s="8">
        <v>21</v>
      </c>
      <c r="O161" s="8">
        <v>52</v>
      </c>
      <c r="P161" s="12">
        <v>0.55000000000000004</v>
      </c>
      <c r="Q161" s="13">
        <v>41600</v>
      </c>
      <c r="R161" s="10">
        <v>6</v>
      </c>
      <c r="S161" s="10">
        <v>0</v>
      </c>
      <c r="T161" s="10">
        <v>6</v>
      </c>
      <c r="U161">
        <f t="shared" si="2"/>
        <v>200</v>
      </c>
    </row>
    <row r="162" spans="1:21" x14ac:dyDescent="0.25">
      <c r="A162" s="21">
        <v>92000135</v>
      </c>
      <c r="B162" s="7" t="s">
        <v>281</v>
      </c>
      <c r="C162" s="8" t="s">
        <v>21</v>
      </c>
      <c r="D162" s="7" t="s">
        <v>29</v>
      </c>
      <c r="E162" s="7" t="s">
        <v>30</v>
      </c>
      <c r="F162" s="7">
        <v>92200201</v>
      </c>
      <c r="G162" s="7" t="s">
        <v>31</v>
      </c>
      <c r="H162" s="7">
        <v>300310001</v>
      </c>
      <c r="I162" s="7" t="s">
        <v>32</v>
      </c>
      <c r="J162" s="9">
        <v>216200</v>
      </c>
      <c r="K162" s="10">
        <v>51</v>
      </c>
      <c r="L162" s="11" t="s">
        <v>26</v>
      </c>
      <c r="M162" s="8">
        <v>80</v>
      </c>
      <c r="N162" s="8">
        <v>11</v>
      </c>
      <c r="O162" s="8">
        <v>91</v>
      </c>
      <c r="P162" s="12">
        <v>0.76</v>
      </c>
      <c r="Q162" s="13">
        <v>109200</v>
      </c>
      <c r="R162" s="10">
        <v>16</v>
      </c>
      <c r="S162" s="10">
        <v>13</v>
      </c>
      <c r="T162" s="10">
        <v>3</v>
      </c>
      <c r="U162">
        <f t="shared" si="2"/>
        <v>36</v>
      </c>
    </row>
    <row r="163" spans="1:21" x14ac:dyDescent="0.25">
      <c r="A163" s="21">
        <v>92000156</v>
      </c>
      <c r="B163" s="7" t="s">
        <v>282</v>
      </c>
      <c r="C163" s="8" t="s">
        <v>21</v>
      </c>
      <c r="D163" s="7" t="s">
        <v>137</v>
      </c>
      <c r="E163" s="7" t="s">
        <v>138</v>
      </c>
      <c r="F163" s="7">
        <v>92000154</v>
      </c>
      <c r="G163" s="7" t="s">
        <v>139</v>
      </c>
      <c r="H163" s="7">
        <v>302010269</v>
      </c>
      <c r="I163" s="7" t="s">
        <v>140</v>
      </c>
      <c r="J163" s="9">
        <v>90400</v>
      </c>
      <c r="K163" s="10">
        <v>184</v>
      </c>
      <c r="L163" s="11" t="s">
        <v>33</v>
      </c>
      <c r="M163" s="8">
        <v>24</v>
      </c>
      <c r="N163" s="8">
        <v>14</v>
      </c>
      <c r="O163" s="8">
        <v>38</v>
      </c>
      <c r="P163" s="12">
        <v>0.5</v>
      </c>
      <c r="Q163" s="13">
        <v>30400</v>
      </c>
      <c r="R163" s="10">
        <v>4</v>
      </c>
      <c r="S163" s="10">
        <v>0</v>
      </c>
      <c r="T163" s="10">
        <v>4</v>
      </c>
      <c r="U163">
        <f t="shared" si="2"/>
        <v>224</v>
      </c>
    </row>
    <row r="164" spans="1:21" x14ac:dyDescent="0.25">
      <c r="A164" s="21">
        <v>92000160</v>
      </c>
      <c r="B164" s="7" t="s">
        <v>283</v>
      </c>
      <c r="C164" s="8" t="s">
        <v>21</v>
      </c>
      <c r="D164" s="7" t="s">
        <v>91</v>
      </c>
      <c r="E164" s="7" t="s">
        <v>92</v>
      </c>
      <c r="F164" s="7">
        <v>92000107</v>
      </c>
      <c r="G164" s="7" t="s">
        <v>274</v>
      </c>
      <c r="H164" s="7">
        <v>410000011</v>
      </c>
      <c r="I164" s="7" t="s">
        <v>94</v>
      </c>
      <c r="J164" s="9">
        <v>104600</v>
      </c>
      <c r="K164" s="10">
        <v>166</v>
      </c>
      <c r="L164" s="11" t="s">
        <v>26</v>
      </c>
      <c r="M164" s="8">
        <v>29</v>
      </c>
      <c r="N164" s="8">
        <v>52</v>
      </c>
      <c r="O164" s="8">
        <v>81</v>
      </c>
      <c r="P164" s="12">
        <v>0.41</v>
      </c>
      <c r="Q164" s="13">
        <v>48600</v>
      </c>
      <c r="R164" s="10">
        <v>5</v>
      </c>
      <c r="S164" s="10">
        <v>3</v>
      </c>
      <c r="T164" s="10">
        <v>2</v>
      </c>
      <c r="U164">
        <f t="shared" si="2"/>
        <v>214</v>
      </c>
    </row>
    <row r="165" spans="1:21" x14ac:dyDescent="0.25">
      <c r="A165" s="21">
        <v>920002060</v>
      </c>
      <c r="B165" s="7" t="s">
        <v>284</v>
      </c>
      <c r="C165" s="8" t="s">
        <v>21</v>
      </c>
      <c r="D165" s="7" t="s">
        <v>137</v>
      </c>
      <c r="E165" s="7" t="s">
        <v>138</v>
      </c>
      <c r="F165" s="7">
        <v>92000154</v>
      </c>
      <c r="G165" s="7" t="s">
        <v>139</v>
      </c>
      <c r="H165" s="7">
        <v>302010269</v>
      </c>
      <c r="I165" s="7" t="s">
        <v>140</v>
      </c>
      <c r="J165" s="9">
        <v>21800</v>
      </c>
      <c r="K165" s="10">
        <v>254</v>
      </c>
      <c r="L165" s="11" t="s">
        <v>33</v>
      </c>
      <c r="M165" s="8">
        <v>21</v>
      </c>
      <c r="N165" s="8">
        <v>12</v>
      </c>
      <c r="O165" s="8">
        <v>33</v>
      </c>
      <c r="P165" s="12">
        <v>0.46</v>
      </c>
      <c r="Q165" s="13">
        <v>19800</v>
      </c>
      <c r="R165" s="10">
        <v>3</v>
      </c>
      <c r="S165" s="10">
        <v>4</v>
      </c>
      <c r="T165" s="10">
        <v>0</v>
      </c>
      <c r="U165">
        <f t="shared" si="2"/>
        <v>236</v>
      </c>
    </row>
    <row r="166" spans="1:21" x14ac:dyDescent="0.25">
      <c r="A166" s="21">
        <v>920002061</v>
      </c>
      <c r="B166" s="7" t="s">
        <v>285</v>
      </c>
      <c r="C166" s="8" t="s">
        <v>21</v>
      </c>
      <c r="D166" s="7" t="s">
        <v>137</v>
      </c>
      <c r="E166" s="7" t="s">
        <v>138</v>
      </c>
      <c r="F166" s="7">
        <v>92000154</v>
      </c>
      <c r="G166" s="7" t="s">
        <v>139</v>
      </c>
      <c r="H166" s="7">
        <v>302010269</v>
      </c>
      <c r="I166" s="7" t="s">
        <v>140</v>
      </c>
      <c r="J166" s="9">
        <v>32600</v>
      </c>
      <c r="K166" s="10">
        <v>244</v>
      </c>
      <c r="L166" s="11" t="s">
        <v>33</v>
      </c>
      <c r="M166" s="8">
        <v>17</v>
      </c>
      <c r="N166" s="8">
        <v>9</v>
      </c>
      <c r="O166" s="8">
        <v>26</v>
      </c>
      <c r="P166" s="12">
        <v>0.43</v>
      </c>
      <c r="Q166" s="13">
        <v>15600</v>
      </c>
      <c r="R166" s="10">
        <v>2</v>
      </c>
      <c r="S166" s="10">
        <v>1</v>
      </c>
      <c r="T166" s="10">
        <v>1</v>
      </c>
      <c r="U166">
        <f t="shared" si="2"/>
        <v>248</v>
      </c>
    </row>
    <row r="167" spans="1:21" x14ac:dyDescent="0.25">
      <c r="A167" s="21">
        <v>920002062</v>
      </c>
      <c r="B167" s="7" t="s">
        <v>286</v>
      </c>
      <c r="C167" s="8" t="s">
        <v>21</v>
      </c>
      <c r="D167" s="7" t="s">
        <v>137</v>
      </c>
      <c r="E167" s="7" t="s">
        <v>138</v>
      </c>
      <c r="F167" s="7">
        <v>92000154</v>
      </c>
      <c r="G167" s="7" t="s">
        <v>139</v>
      </c>
      <c r="H167" s="7">
        <v>302010269</v>
      </c>
      <c r="I167" s="7" t="s">
        <v>140</v>
      </c>
      <c r="J167" s="9">
        <v>63800</v>
      </c>
      <c r="K167" s="10">
        <v>214</v>
      </c>
      <c r="L167" s="11" t="s">
        <v>33</v>
      </c>
      <c r="M167" s="8">
        <v>17</v>
      </c>
      <c r="N167" s="8">
        <v>11</v>
      </c>
      <c r="O167" s="8">
        <v>28</v>
      </c>
      <c r="P167" s="12">
        <v>0.42</v>
      </c>
      <c r="Q167" s="13">
        <v>16800</v>
      </c>
      <c r="R167" s="10">
        <v>3</v>
      </c>
      <c r="S167" s="10">
        <v>0</v>
      </c>
      <c r="T167" s="10">
        <v>3</v>
      </c>
      <c r="U167">
        <f t="shared" si="2"/>
        <v>246</v>
      </c>
    </row>
    <row r="168" spans="1:21" x14ac:dyDescent="0.25">
      <c r="A168" s="21">
        <v>920002063</v>
      </c>
      <c r="B168" s="7" t="s">
        <v>287</v>
      </c>
      <c r="C168" s="8" t="s">
        <v>21</v>
      </c>
      <c r="D168" s="7" t="s">
        <v>137</v>
      </c>
      <c r="E168" s="7" t="s">
        <v>138</v>
      </c>
      <c r="F168" s="7">
        <v>92000154</v>
      </c>
      <c r="G168" s="7" t="s">
        <v>139</v>
      </c>
      <c r="H168" s="7">
        <v>302010269</v>
      </c>
      <c r="I168" s="7" t="s">
        <v>140</v>
      </c>
      <c r="J168" s="9">
        <v>0</v>
      </c>
      <c r="K168" s="10">
        <v>274</v>
      </c>
      <c r="L168" s="11" t="s">
        <v>33</v>
      </c>
      <c r="M168" s="8">
        <v>4</v>
      </c>
      <c r="N168" s="8">
        <v>8</v>
      </c>
      <c r="O168" s="8">
        <v>12</v>
      </c>
      <c r="P168" s="12">
        <v>0.37</v>
      </c>
      <c r="Q168" s="13">
        <v>0</v>
      </c>
      <c r="R168" s="10">
        <v>1</v>
      </c>
      <c r="S168" s="10">
        <v>1</v>
      </c>
      <c r="T168" s="10">
        <v>0</v>
      </c>
      <c r="U168">
        <f t="shared" si="2"/>
        <v>269</v>
      </c>
    </row>
    <row r="169" spans="1:21" x14ac:dyDescent="0.25">
      <c r="A169" s="21">
        <v>92200250</v>
      </c>
      <c r="B169" s="7" t="s">
        <v>288</v>
      </c>
      <c r="C169" s="8" t="s">
        <v>21</v>
      </c>
      <c r="D169" s="7" t="s">
        <v>29</v>
      </c>
      <c r="E169" s="7" t="s">
        <v>30</v>
      </c>
      <c r="F169" s="7">
        <v>92200201</v>
      </c>
      <c r="G169" s="7" t="s">
        <v>31</v>
      </c>
      <c r="H169" s="7">
        <v>300310001</v>
      </c>
      <c r="I169" s="7" t="s">
        <v>32</v>
      </c>
      <c r="J169" s="9">
        <v>115000</v>
      </c>
      <c r="K169" s="10">
        <v>145</v>
      </c>
      <c r="L169" s="11" t="s">
        <v>26</v>
      </c>
      <c r="M169" s="8">
        <v>36</v>
      </c>
      <c r="N169" s="8">
        <v>19</v>
      </c>
      <c r="O169" s="8">
        <v>55</v>
      </c>
      <c r="P169" s="12">
        <v>0.64</v>
      </c>
      <c r="Q169" s="13">
        <v>55000</v>
      </c>
      <c r="R169" s="10">
        <v>8</v>
      </c>
      <c r="S169" s="10">
        <v>4</v>
      </c>
      <c r="T169" s="10">
        <v>4</v>
      </c>
      <c r="U169">
        <f t="shared" si="2"/>
        <v>166</v>
      </c>
    </row>
    <row r="170" spans="1:21" x14ac:dyDescent="0.25">
      <c r="A170" s="21">
        <v>92200251</v>
      </c>
      <c r="B170" s="7" t="s">
        <v>289</v>
      </c>
      <c r="C170" s="8" t="s">
        <v>21</v>
      </c>
      <c r="D170" s="7" t="s">
        <v>29</v>
      </c>
      <c r="E170" s="7" t="s">
        <v>30</v>
      </c>
      <c r="F170" s="7">
        <v>92200201</v>
      </c>
      <c r="G170" s="7" t="s">
        <v>31</v>
      </c>
      <c r="H170" s="7">
        <v>300310001</v>
      </c>
      <c r="I170" s="7" t="s">
        <v>32</v>
      </c>
      <c r="J170" s="9">
        <v>138000</v>
      </c>
      <c r="K170" s="10">
        <v>114</v>
      </c>
      <c r="L170" s="11" t="s">
        <v>26</v>
      </c>
      <c r="M170" s="8">
        <v>40</v>
      </c>
      <c r="N170" s="8">
        <v>23</v>
      </c>
      <c r="O170" s="8">
        <v>63</v>
      </c>
      <c r="P170" s="12">
        <v>0.61</v>
      </c>
      <c r="Q170" s="13">
        <v>63000</v>
      </c>
      <c r="R170" s="10">
        <v>10</v>
      </c>
      <c r="S170" s="10">
        <v>5</v>
      </c>
      <c r="T170" s="10">
        <v>5</v>
      </c>
      <c r="U170">
        <f t="shared" si="2"/>
        <v>119</v>
      </c>
    </row>
    <row r="171" spans="1:21" x14ac:dyDescent="0.25">
      <c r="A171" s="21">
        <v>92200252</v>
      </c>
      <c r="B171" s="7" t="s">
        <v>290</v>
      </c>
      <c r="C171" s="8" t="s">
        <v>21</v>
      </c>
      <c r="D171" s="7" t="s">
        <v>29</v>
      </c>
      <c r="E171" s="7" t="s">
        <v>30</v>
      </c>
      <c r="F171" s="7">
        <v>92200201</v>
      </c>
      <c r="G171" s="7" t="s">
        <v>31</v>
      </c>
      <c r="H171" s="7">
        <v>300310001</v>
      </c>
      <c r="I171" s="7" t="s">
        <v>32</v>
      </c>
      <c r="J171" s="9">
        <v>178000</v>
      </c>
      <c r="K171" s="10">
        <v>72</v>
      </c>
      <c r="L171" s="11" t="s">
        <v>26</v>
      </c>
      <c r="M171" s="8">
        <v>55</v>
      </c>
      <c r="N171" s="8">
        <v>18</v>
      </c>
      <c r="O171" s="8">
        <v>73</v>
      </c>
      <c r="P171" s="12">
        <v>0.63</v>
      </c>
      <c r="Q171" s="13">
        <v>73000</v>
      </c>
      <c r="R171" s="10">
        <v>11</v>
      </c>
      <c r="S171" s="10">
        <v>8</v>
      </c>
      <c r="T171" s="10">
        <v>3</v>
      </c>
      <c r="U171">
        <f t="shared" si="2"/>
        <v>93</v>
      </c>
    </row>
    <row r="172" spans="1:21" x14ac:dyDescent="0.25">
      <c r="A172" s="21">
        <v>92200253</v>
      </c>
      <c r="B172" s="7" t="s">
        <v>291</v>
      </c>
      <c r="C172" s="8" t="s">
        <v>21</v>
      </c>
      <c r="D172" s="7" t="s">
        <v>29</v>
      </c>
      <c r="E172" s="7" t="s">
        <v>30</v>
      </c>
      <c r="F172" s="7">
        <v>92200201</v>
      </c>
      <c r="G172" s="7" t="s">
        <v>31</v>
      </c>
      <c r="H172" s="7">
        <v>300310001</v>
      </c>
      <c r="I172" s="7" t="s">
        <v>32</v>
      </c>
      <c r="J172" s="9">
        <v>140600</v>
      </c>
      <c r="K172" s="10">
        <v>111</v>
      </c>
      <c r="L172" s="11" t="s">
        <v>26</v>
      </c>
      <c r="M172" s="8">
        <v>77</v>
      </c>
      <c r="N172" s="8">
        <v>5</v>
      </c>
      <c r="O172" s="8">
        <v>82</v>
      </c>
      <c r="P172" s="12">
        <v>0.57999999999999996</v>
      </c>
      <c r="Q172" s="13">
        <v>65600</v>
      </c>
      <c r="R172" s="10">
        <v>13</v>
      </c>
      <c r="S172" s="10">
        <v>10</v>
      </c>
      <c r="T172" s="10">
        <v>3</v>
      </c>
      <c r="U172">
        <f t="shared" si="2"/>
        <v>68</v>
      </c>
    </row>
    <row r="173" spans="1:21" x14ac:dyDescent="0.25">
      <c r="A173" s="21">
        <v>930000102</v>
      </c>
      <c r="B173" s="7" t="s">
        <v>292</v>
      </c>
      <c r="C173" s="8" t="s">
        <v>21</v>
      </c>
      <c r="D173" s="7" t="s">
        <v>91</v>
      </c>
      <c r="E173" s="7" t="s">
        <v>92</v>
      </c>
      <c r="F173" s="7">
        <v>92000107</v>
      </c>
      <c r="G173" s="7" t="s">
        <v>274</v>
      </c>
      <c r="H173" s="7">
        <v>410000011</v>
      </c>
      <c r="I173" s="7" t="s">
        <v>94</v>
      </c>
      <c r="J173" s="9">
        <v>277000</v>
      </c>
      <c r="K173" s="10">
        <v>26</v>
      </c>
      <c r="L173" s="11" t="s">
        <v>26</v>
      </c>
      <c r="M173" s="8">
        <v>55</v>
      </c>
      <c r="N173" s="8">
        <v>70</v>
      </c>
      <c r="O173" s="8">
        <v>125</v>
      </c>
      <c r="P173" s="12">
        <v>0.46</v>
      </c>
      <c r="Q173" s="13">
        <v>75000</v>
      </c>
      <c r="R173" s="10">
        <v>11</v>
      </c>
      <c r="S173" s="10">
        <v>3</v>
      </c>
      <c r="T173" s="10">
        <v>8</v>
      </c>
      <c r="U173">
        <f t="shared" si="2"/>
        <v>102</v>
      </c>
    </row>
    <row r="174" spans="1:21" x14ac:dyDescent="0.25">
      <c r="A174" s="21">
        <v>930000202</v>
      </c>
      <c r="B174" s="7" t="s">
        <v>293</v>
      </c>
      <c r="C174" s="8" t="s">
        <v>21</v>
      </c>
      <c r="D174" s="7" t="s">
        <v>91</v>
      </c>
      <c r="E174" s="7" t="s">
        <v>92</v>
      </c>
      <c r="F174" s="7">
        <v>92000107</v>
      </c>
      <c r="G174" s="7" t="s">
        <v>274</v>
      </c>
      <c r="H174" s="7">
        <v>410000011</v>
      </c>
      <c r="I174" s="7" t="s">
        <v>94</v>
      </c>
      <c r="J174" s="9">
        <v>2000</v>
      </c>
      <c r="K174" s="10">
        <v>270</v>
      </c>
      <c r="L174" s="11" t="s">
        <v>33</v>
      </c>
      <c r="M174" s="8">
        <v>37</v>
      </c>
      <c r="N174" s="8">
        <v>25</v>
      </c>
      <c r="O174" s="8">
        <v>62</v>
      </c>
      <c r="P174" s="12">
        <v>0.35</v>
      </c>
      <c r="Q174" s="13">
        <v>0</v>
      </c>
      <c r="R174" s="10">
        <v>2</v>
      </c>
      <c r="S174" s="10">
        <v>3</v>
      </c>
      <c r="T174" s="10">
        <v>0</v>
      </c>
      <c r="U174">
        <f t="shared" si="2"/>
        <v>253</v>
      </c>
    </row>
    <row r="175" spans="1:21" x14ac:dyDescent="0.25">
      <c r="A175" s="21">
        <v>93000103</v>
      </c>
      <c r="B175" s="7" t="s">
        <v>294</v>
      </c>
      <c r="C175" s="8" t="s">
        <v>21</v>
      </c>
      <c r="D175" s="7" t="s">
        <v>29</v>
      </c>
      <c r="E175" s="7" t="s">
        <v>35</v>
      </c>
      <c r="F175" s="7">
        <v>302320002</v>
      </c>
      <c r="G175" s="7" t="s">
        <v>36</v>
      </c>
      <c r="H175" s="7">
        <v>300310001</v>
      </c>
      <c r="I175" s="7" t="s">
        <v>32</v>
      </c>
      <c r="J175" s="9">
        <v>602000</v>
      </c>
      <c r="K175" s="10">
        <v>2</v>
      </c>
      <c r="L175" s="11" t="s">
        <v>26</v>
      </c>
      <c r="M175" s="8">
        <v>157</v>
      </c>
      <c r="N175" s="8">
        <v>48</v>
      </c>
      <c r="O175" s="8">
        <v>205</v>
      </c>
      <c r="P175" s="12">
        <v>0.79</v>
      </c>
      <c r="Q175" s="13">
        <v>246000</v>
      </c>
      <c r="R175" s="10">
        <v>32</v>
      </c>
      <c r="S175" s="10">
        <v>22</v>
      </c>
      <c r="T175" s="10">
        <v>10</v>
      </c>
      <c r="U175">
        <f t="shared" si="2"/>
        <v>1</v>
      </c>
    </row>
    <row r="176" spans="1:21" x14ac:dyDescent="0.25">
      <c r="A176" s="21">
        <v>93000106</v>
      </c>
      <c r="B176" s="7" t="s">
        <v>295</v>
      </c>
      <c r="C176" s="8" t="s">
        <v>21</v>
      </c>
      <c r="D176" s="7" t="s">
        <v>22</v>
      </c>
      <c r="E176" s="7" t="s">
        <v>82</v>
      </c>
      <c r="F176" s="7">
        <v>270030</v>
      </c>
      <c r="G176" s="7" t="s">
        <v>296</v>
      </c>
      <c r="H176" s="7">
        <v>400000122</v>
      </c>
      <c r="I176" s="7" t="s">
        <v>25</v>
      </c>
      <c r="J176" s="9">
        <v>274600</v>
      </c>
      <c r="K176" s="10">
        <v>28</v>
      </c>
      <c r="L176" s="11" t="s">
        <v>26</v>
      </c>
      <c r="M176" s="8">
        <v>119</v>
      </c>
      <c r="N176" s="8">
        <v>47</v>
      </c>
      <c r="O176" s="8">
        <v>166</v>
      </c>
      <c r="P176" s="12">
        <v>0.45</v>
      </c>
      <c r="Q176" s="13">
        <v>99600</v>
      </c>
      <c r="R176" s="10">
        <v>24</v>
      </c>
      <c r="S176" s="10">
        <v>19</v>
      </c>
      <c r="T176" s="10">
        <v>5</v>
      </c>
      <c r="U176">
        <f t="shared" si="2"/>
        <v>8</v>
      </c>
    </row>
    <row r="177" spans="1:21" x14ac:dyDescent="0.25">
      <c r="A177" s="21">
        <v>93000107</v>
      </c>
      <c r="B177" s="7" t="s">
        <v>297</v>
      </c>
      <c r="C177" s="8" t="s">
        <v>21</v>
      </c>
      <c r="D177" s="7" t="s">
        <v>29</v>
      </c>
      <c r="E177" s="7" t="s">
        <v>115</v>
      </c>
      <c r="F177" s="7">
        <v>93000108</v>
      </c>
      <c r="G177" s="7" t="s">
        <v>116</v>
      </c>
      <c r="H177" s="7">
        <v>300310001</v>
      </c>
      <c r="I177" s="7" t="s">
        <v>32</v>
      </c>
      <c r="J177" s="9">
        <v>453000</v>
      </c>
      <c r="K177" s="10">
        <v>6</v>
      </c>
      <c r="L177" s="11" t="s">
        <v>26</v>
      </c>
      <c r="M177" s="8">
        <v>102</v>
      </c>
      <c r="N177" s="8">
        <v>68</v>
      </c>
      <c r="O177" s="8">
        <v>170</v>
      </c>
      <c r="P177" s="12">
        <v>0.71</v>
      </c>
      <c r="Q177" s="13">
        <v>204000</v>
      </c>
      <c r="R177" s="10">
        <v>26</v>
      </c>
      <c r="S177" s="10">
        <v>19</v>
      </c>
      <c r="T177" s="10">
        <v>7</v>
      </c>
      <c r="U177">
        <f t="shared" si="2"/>
        <v>6</v>
      </c>
    </row>
    <row r="178" spans="1:21" x14ac:dyDescent="0.25">
      <c r="A178" s="21">
        <v>93000109</v>
      </c>
      <c r="B178" s="7" t="s">
        <v>298</v>
      </c>
      <c r="C178" s="8" t="s">
        <v>21</v>
      </c>
      <c r="D178" s="7" t="s">
        <v>29</v>
      </c>
      <c r="E178" s="7" t="s">
        <v>118</v>
      </c>
      <c r="F178" s="7">
        <v>300710002</v>
      </c>
      <c r="G178" s="7" t="s">
        <v>119</v>
      </c>
      <c r="H178" s="7">
        <v>300310001</v>
      </c>
      <c r="I178" s="7" t="s">
        <v>32</v>
      </c>
      <c r="J178" s="9">
        <v>168400</v>
      </c>
      <c r="K178" s="10">
        <v>78</v>
      </c>
      <c r="L178" s="11" t="s">
        <v>26</v>
      </c>
      <c r="M178" s="8">
        <v>59</v>
      </c>
      <c r="N178" s="8">
        <v>39</v>
      </c>
      <c r="O178" s="8">
        <v>98</v>
      </c>
      <c r="P178" s="12">
        <v>0.5</v>
      </c>
      <c r="Q178" s="13">
        <v>78400</v>
      </c>
      <c r="R178" s="10">
        <v>13</v>
      </c>
      <c r="S178" s="10">
        <v>7</v>
      </c>
      <c r="T178" s="10">
        <v>6</v>
      </c>
      <c r="U178">
        <f t="shared" si="2"/>
        <v>67</v>
      </c>
    </row>
    <row r="179" spans="1:21" x14ac:dyDescent="0.25">
      <c r="A179" s="21">
        <v>93000113</v>
      </c>
      <c r="B179" s="7" t="s">
        <v>299</v>
      </c>
      <c r="C179" s="8" t="s">
        <v>21</v>
      </c>
      <c r="D179" s="7" t="s">
        <v>29</v>
      </c>
      <c r="E179" s="7" t="s">
        <v>118</v>
      </c>
      <c r="F179" s="7">
        <v>300710002</v>
      </c>
      <c r="G179" s="7" t="s">
        <v>119</v>
      </c>
      <c r="H179" s="7">
        <v>300310001</v>
      </c>
      <c r="I179" s="7" t="s">
        <v>32</v>
      </c>
      <c r="J179" s="9">
        <v>179600</v>
      </c>
      <c r="K179" s="10">
        <v>70</v>
      </c>
      <c r="L179" s="11" t="s">
        <v>26</v>
      </c>
      <c r="M179" s="8">
        <v>54</v>
      </c>
      <c r="N179" s="8">
        <v>37</v>
      </c>
      <c r="O179" s="8">
        <v>91</v>
      </c>
      <c r="P179" s="12">
        <v>0.47</v>
      </c>
      <c r="Q179" s="13">
        <v>54600</v>
      </c>
      <c r="R179" s="10">
        <v>10</v>
      </c>
      <c r="S179" s="10">
        <v>5</v>
      </c>
      <c r="T179" s="10">
        <v>5</v>
      </c>
      <c r="U179">
        <f t="shared" si="2"/>
        <v>114</v>
      </c>
    </row>
    <row r="180" spans="1:21" x14ac:dyDescent="0.25">
      <c r="A180" s="21">
        <v>93000115</v>
      </c>
      <c r="B180" s="7" t="s">
        <v>300</v>
      </c>
      <c r="C180" s="8" t="s">
        <v>21</v>
      </c>
      <c r="D180" s="7" t="s">
        <v>29</v>
      </c>
      <c r="E180" s="7" t="s">
        <v>118</v>
      </c>
      <c r="F180" s="7">
        <v>300710002</v>
      </c>
      <c r="G180" s="7" t="s">
        <v>119</v>
      </c>
      <c r="H180" s="7">
        <v>300310001</v>
      </c>
      <c r="I180" s="7" t="s">
        <v>32</v>
      </c>
      <c r="J180" s="9">
        <v>45000</v>
      </c>
      <c r="K180" s="10">
        <v>232</v>
      </c>
      <c r="L180" s="11" t="s">
        <v>33</v>
      </c>
      <c r="M180" s="8">
        <v>37</v>
      </c>
      <c r="N180" s="8">
        <v>18</v>
      </c>
      <c r="O180" s="8">
        <v>55</v>
      </c>
      <c r="P180" s="12">
        <v>0.3</v>
      </c>
      <c r="Q180" s="13">
        <v>0</v>
      </c>
      <c r="R180" s="10">
        <v>5</v>
      </c>
      <c r="S180" s="10">
        <v>2</v>
      </c>
      <c r="T180" s="10">
        <v>3</v>
      </c>
      <c r="U180">
        <f t="shared" si="2"/>
        <v>211</v>
      </c>
    </row>
    <row r="181" spans="1:21" x14ac:dyDescent="0.25">
      <c r="A181" s="21">
        <v>93000120</v>
      </c>
      <c r="B181" s="7" t="s">
        <v>301</v>
      </c>
      <c r="C181" s="8" t="s">
        <v>21</v>
      </c>
      <c r="D181" s="7" t="s">
        <v>91</v>
      </c>
      <c r="E181" s="7" t="s">
        <v>107</v>
      </c>
      <c r="F181" s="7">
        <v>290013</v>
      </c>
      <c r="G181" s="7" t="s">
        <v>110</v>
      </c>
      <c r="H181" s="7">
        <v>410000011</v>
      </c>
      <c r="I181" s="7" t="s">
        <v>94</v>
      </c>
      <c r="J181" s="9">
        <v>2000</v>
      </c>
      <c r="K181" s="10">
        <v>270</v>
      </c>
      <c r="L181" s="11" t="s">
        <v>33</v>
      </c>
      <c r="M181" s="8">
        <v>29</v>
      </c>
      <c r="N181" s="8">
        <v>9</v>
      </c>
      <c r="O181" s="8">
        <v>38</v>
      </c>
      <c r="P181" s="12">
        <v>0.33</v>
      </c>
      <c r="Q181" s="14">
        <v>0</v>
      </c>
      <c r="R181" s="10">
        <v>0</v>
      </c>
      <c r="S181" s="10">
        <v>1</v>
      </c>
      <c r="T181" s="10">
        <v>0</v>
      </c>
      <c r="U181">
        <f t="shared" si="2"/>
        <v>275</v>
      </c>
    </row>
    <row r="182" spans="1:21" x14ac:dyDescent="0.25">
      <c r="A182" s="21">
        <v>93000126</v>
      </c>
      <c r="B182" s="7" t="s">
        <v>302</v>
      </c>
      <c r="C182" s="8" t="s">
        <v>21</v>
      </c>
      <c r="D182" s="7" t="s">
        <v>91</v>
      </c>
      <c r="E182" s="7" t="s">
        <v>107</v>
      </c>
      <c r="F182" s="7">
        <v>93200205</v>
      </c>
      <c r="G182" s="7" t="s">
        <v>108</v>
      </c>
      <c r="H182" s="7">
        <v>410000011</v>
      </c>
      <c r="I182" s="7" t="s">
        <v>94</v>
      </c>
      <c r="J182" s="9">
        <v>94400</v>
      </c>
      <c r="K182" s="10">
        <v>177</v>
      </c>
      <c r="L182" s="11" t="s">
        <v>33</v>
      </c>
      <c r="M182" s="8">
        <v>51</v>
      </c>
      <c r="N182" s="8">
        <v>67</v>
      </c>
      <c r="O182" s="8">
        <v>118</v>
      </c>
      <c r="P182" s="12">
        <v>0.54</v>
      </c>
      <c r="Q182" s="13">
        <v>94400</v>
      </c>
      <c r="R182" s="10">
        <v>5</v>
      </c>
      <c r="S182" s="10">
        <v>5</v>
      </c>
      <c r="T182" s="10">
        <v>0</v>
      </c>
      <c r="U182">
        <f t="shared" si="2"/>
        <v>215</v>
      </c>
    </row>
    <row r="183" spans="1:21" x14ac:dyDescent="0.25">
      <c r="A183" s="21">
        <v>93000130</v>
      </c>
      <c r="B183" s="7" t="s">
        <v>303</v>
      </c>
      <c r="C183" s="8" t="s">
        <v>21</v>
      </c>
      <c r="D183" s="7" t="s">
        <v>91</v>
      </c>
      <c r="E183" s="7" t="s">
        <v>271</v>
      </c>
      <c r="F183" s="7">
        <v>920000341</v>
      </c>
      <c r="G183" s="7" t="s">
        <v>272</v>
      </c>
      <c r="H183" s="7">
        <v>410000011</v>
      </c>
      <c r="I183" s="7" t="s">
        <v>94</v>
      </c>
      <c r="J183" s="9">
        <v>32400</v>
      </c>
      <c r="K183" s="10">
        <v>245</v>
      </c>
      <c r="L183" s="11" t="s">
        <v>33</v>
      </c>
      <c r="M183" s="8">
        <v>28</v>
      </c>
      <c r="N183" s="8">
        <v>26</v>
      </c>
      <c r="O183" s="8">
        <v>54</v>
      </c>
      <c r="P183" s="12">
        <v>0.4</v>
      </c>
      <c r="Q183" s="13">
        <v>32400</v>
      </c>
      <c r="R183" s="10">
        <v>1</v>
      </c>
      <c r="S183" s="10">
        <v>3</v>
      </c>
      <c r="T183" s="10">
        <v>0</v>
      </c>
      <c r="U183">
        <f t="shared" si="2"/>
        <v>274</v>
      </c>
    </row>
    <row r="184" spans="1:21" x14ac:dyDescent="0.25">
      <c r="A184" s="21">
        <v>93000131</v>
      </c>
      <c r="B184" s="7" t="s">
        <v>304</v>
      </c>
      <c r="C184" s="8" t="s">
        <v>21</v>
      </c>
      <c r="D184" s="7" t="s">
        <v>29</v>
      </c>
      <c r="E184" s="7" t="s">
        <v>115</v>
      </c>
      <c r="F184" s="7">
        <v>93000108</v>
      </c>
      <c r="G184" s="7" t="s">
        <v>116</v>
      </c>
      <c r="H184" s="7">
        <v>300310001</v>
      </c>
      <c r="I184" s="7" t="s">
        <v>32</v>
      </c>
      <c r="J184" s="9">
        <v>162000</v>
      </c>
      <c r="K184" s="10">
        <v>82</v>
      </c>
      <c r="L184" s="11" t="s">
        <v>26</v>
      </c>
      <c r="M184" s="8">
        <v>64</v>
      </c>
      <c r="N184" s="8">
        <v>24</v>
      </c>
      <c r="O184" s="8">
        <v>88</v>
      </c>
      <c r="P184" s="12">
        <v>0.67</v>
      </c>
      <c r="Q184" s="13">
        <v>88000</v>
      </c>
      <c r="R184" s="10">
        <v>14</v>
      </c>
      <c r="S184" s="10">
        <v>12</v>
      </c>
      <c r="T184" s="10">
        <v>2</v>
      </c>
      <c r="U184">
        <f t="shared" si="2"/>
        <v>62</v>
      </c>
    </row>
    <row r="185" spans="1:21" x14ac:dyDescent="0.25">
      <c r="A185" s="21">
        <v>93000132</v>
      </c>
      <c r="B185" s="7" t="s">
        <v>305</v>
      </c>
      <c r="C185" s="8" t="s">
        <v>21</v>
      </c>
      <c r="D185" s="7" t="s">
        <v>29</v>
      </c>
      <c r="E185" s="7" t="s">
        <v>115</v>
      </c>
      <c r="F185" s="7">
        <v>93000108</v>
      </c>
      <c r="G185" s="7" t="s">
        <v>116</v>
      </c>
      <c r="H185" s="7">
        <v>300310001</v>
      </c>
      <c r="I185" s="7" t="s">
        <v>32</v>
      </c>
      <c r="J185" s="9">
        <v>165800</v>
      </c>
      <c r="K185" s="10">
        <v>80</v>
      </c>
      <c r="L185" s="11" t="s">
        <v>26</v>
      </c>
      <c r="M185" s="8">
        <v>58</v>
      </c>
      <c r="N185" s="8">
        <v>16</v>
      </c>
      <c r="O185" s="8">
        <v>74</v>
      </c>
      <c r="P185" s="12">
        <v>0.78</v>
      </c>
      <c r="Q185" s="13">
        <v>88800</v>
      </c>
      <c r="R185" s="10">
        <v>13</v>
      </c>
      <c r="S185" s="10">
        <v>10</v>
      </c>
      <c r="T185" s="10">
        <v>3</v>
      </c>
      <c r="U185">
        <f t="shared" si="2"/>
        <v>63</v>
      </c>
    </row>
    <row r="186" spans="1:21" x14ac:dyDescent="0.25">
      <c r="A186" s="21">
        <v>93000134</v>
      </c>
      <c r="B186" s="7" t="s">
        <v>306</v>
      </c>
      <c r="C186" s="8" t="s">
        <v>21</v>
      </c>
      <c r="D186" s="7" t="s">
        <v>29</v>
      </c>
      <c r="E186" s="7" t="s">
        <v>35</v>
      </c>
      <c r="F186" s="7">
        <v>302320002</v>
      </c>
      <c r="G186" s="7" t="s">
        <v>36</v>
      </c>
      <c r="H186" s="7">
        <v>300310001</v>
      </c>
      <c r="I186" s="7" t="s">
        <v>32</v>
      </c>
      <c r="J186" s="9">
        <v>380800</v>
      </c>
      <c r="K186" s="10">
        <v>10</v>
      </c>
      <c r="L186" s="11" t="s">
        <v>26</v>
      </c>
      <c r="M186" s="8">
        <v>183</v>
      </c>
      <c r="N186" s="8">
        <v>68</v>
      </c>
      <c r="O186" s="8">
        <v>251</v>
      </c>
      <c r="P186" s="12">
        <v>0.51</v>
      </c>
      <c r="Q186" s="13">
        <v>200800</v>
      </c>
      <c r="R186" s="10">
        <v>23</v>
      </c>
      <c r="S186" s="10">
        <v>11</v>
      </c>
      <c r="T186" s="10">
        <v>12</v>
      </c>
      <c r="U186">
        <f t="shared" si="2"/>
        <v>11</v>
      </c>
    </row>
    <row r="187" spans="1:21" x14ac:dyDescent="0.25">
      <c r="A187" s="21">
        <v>93000135</v>
      </c>
      <c r="B187" s="7" t="s">
        <v>307</v>
      </c>
      <c r="C187" s="8" t="s">
        <v>21</v>
      </c>
      <c r="D187" s="7" t="s">
        <v>29</v>
      </c>
      <c r="E187" s="7" t="s">
        <v>35</v>
      </c>
      <c r="F187" s="7">
        <v>302320002</v>
      </c>
      <c r="G187" s="7" t="s">
        <v>36</v>
      </c>
      <c r="H187" s="7">
        <v>300310001</v>
      </c>
      <c r="I187" s="7" t="s">
        <v>32</v>
      </c>
      <c r="J187" s="9">
        <v>200000</v>
      </c>
      <c r="K187" s="10">
        <v>58</v>
      </c>
      <c r="L187" s="11" t="s">
        <v>26</v>
      </c>
      <c r="M187" s="8">
        <v>55</v>
      </c>
      <c r="N187" s="8">
        <v>20</v>
      </c>
      <c r="O187" s="8">
        <v>75</v>
      </c>
      <c r="P187" s="12">
        <v>0.55000000000000004</v>
      </c>
      <c r="Q187" s="13">
        <v>60000</v>
      </c>
      <c r="R187" s="10">
        <v>11</v>
      </c>
      <c r="S187" s="10">
        <v>7</v>
      </c>
      <c r="T187" s="10">
        <v>4</v>
      </c>
      <c r="U187">
        <f t="shared" si="2"/>
        <v>106</v>
      </c>
    </row>
    <row r="188" spans="1:21" x14ac:dyDescent="0.25">
      <c r="A188" s="21">
        <v>93000136</v>
      </c>
      <c r="B188" s="7" t="s">
        <v>308</v>
      </c>
      <c r="C188" s="8" t="s">
        <v>21</v>
      </c>
      <c r="D188" s="7" t="s">
        <v>29</v>
      </c>
      <c r="E188" s="7" t="s">
        <v>41</v>
      </c>
      <c r="F188" s="7">
        <v>93000101</v>
      </c>
      <c r="G188" s="7" t="s">
        <v>42</v>
      </c>
      <c r="H188" s="7">
        <v>300310001</v>
      </c>
      <c r="I188" s="7" t="s">
        <v>32</v>
      </c>
      <c r="J188" s="9">
        <v>197000</v>
      </c>
      <c r="K188" s="10">
        <v>62</v>
      </c>
      <c r="L188" s="11" t="s">
        <v>26</v>
      </c>
      <c r="M188" s="8">
        <v>85</v>
      </c>
      <c r="N188" s="8">
        <v>35</v>
      </c>
      <c r="O188" s="8">
        <v>120</v>
      </c>
      <c r="P188" s="12">
        <v>0.68</v>
      </c>
      <c r="Q188" s="13">
        <v>120000</v>
      </c>
      <c r="R188" s="10">
        <v>11</v>
      </c>
      <c r="S188" s="10">
        <v>6</v>
      </c>
      <c r="T188" s="10">
        <v>5</v>
      </c>
      <c r="U188">
        <f t="shared" si="2"/>
        <v>104</v>
      </c>
    </row>
    <row r="189" spans="1:21" x14ac:dyDescent="0.25">
      <c r="A189" s="21">
        <v>930001370</v>
      </c>
      <c r="B189" s="7" t="s">
        <v>309</v>
      </c>
      <c r="C189" s="8" t="s">
        <v>21</v>
      </c>
      <c r="D189" s="7" t="s">
        <v>29</v>
      </c>
      <c r="E189" s="7" t="s">
        <v>35</v>
      </c>
      <c r="F189" s="7">
        <v>93200201</v>
      </c>
      <c r="G189" s="7" t="s">
        <v>39</v>
      </c>
      <c r="H189" s="7">
        <v>300310001</v>
      </c>
      <c r="I189" s="7" t="s">
        <v>32</v>
      </c>
      <c r="J189" s="9">
        <v>74000</v>
      </c>
      <c r="K189" s="10">
        <v>203</v>
      </c>
      <c r="L189" s="11" t="s">
        <v>33</v>
      </c>
      <c r="M189" s="8">
        <v>46</v>
      </c>
      <c r="N189" s="8">
        <v>14</v>
      </c>
      <c r="O189" s="8">
        <v>60</v>
      </c>
      <c r="P189" s="12">
        <v>0.72</v>
      </c>
      <c r="Q189" s="13">
        <v>72000</v>
      </c>
      <c r="R189" s="10">
        <v>8</v>
      </c>
      <c r="S189" s="10">
        <v>13</v>
      </c>
      <c r="T189" s="10">
        <v>0</v>
      </c>
      <c r="U189">
        <f t="shared" si="2"/>
        <v>157</v>
      </c>
    </row>
    <row r="190" spans="1:21" x14ac:dyDescent="0.25">
      <c r="A190" s="21">
        <v>930001371</v>
      </c>
      <c r="B190" s="7" t="s">
        <v>310</v>
      </c>
      <c r="C190" s="8" t="s">
        <v>21</v>
      </c>
      <c r="D190" s="7" t="s">
        <v>29</v>
      </c>
      <c r="E190" s="7" t="s">
        <v>35</v>
      </c>
      <c r="F190" s="7">
        <v>302320002</v>
      </c>
      <c r="G190" s="7" t="s">
        <v>36</v>
      </c>
      <c r="H190" s="7">
        <v>300310001</v>
      </c>
      <c r="I190" s="7" t="s">
        <v>32</v>
      </c>
      <c r="J190" s="9">
        <v>414000</v>
      </c>
      <c r="K190" s="10">
        <v>8</v>
      </c>
      <c r="L190" s="11" t="s">
        <v>26</v>
      </c>
      <c r="M190" s="8">
        <v>149</v>
      </c>
      <c r="N190" s="8">
        <v>88</v>
      </c>
      <c r="O190" s="8">
        <v>237</v>
      </c>
      <c r="P190" s="12">
        <v>0.66</v>
      </c>
      <c r="Q190" s="13">
        <v>237000</v>
      </c>
      <c r="R190" s="10">
        <v>24</v>
      </c>
      <c r="S190" s="10">
        <v>17</v>
      </c>
      <c r="T190" s="10">
        <v>7</v>
      </c>
      <c r="U190">
        <f t="shared" si="2"/>
        <v>10</v>
      </c>
    </row>
    <row r="191" spans="1:21" x14ac:dyDescent="0.25">
      <c r="A191" s="21">
        <v>930001375</v>
      </c>
      <c r="B191" s="7" t="s">
        <v>311</v>
      </c>
      <c r="C191" s="8" t="s">
        <v>21</v>
      </c>
      <c r="D191" s="7" t="s">
        <v>29</v>
      </c>
      <c r="E191" s="7" t="s">
        <v>41</v>
      </c>
      <c r="F191" s="7">
        <v>93000101</v>
      </c>
      <c r="G191" s="7" t="s">
        <v>42</v>
      </c>
      <c r="H191" s="7">
        <v>300310001</v>
      </c>
      <c r="I191" s="7" t="s">
        <v>32</v>
      </c>
      <c r="J191" s="9">
        <v>183000</v>
      </c>
      <c r="K191" s="10">
        <v>68</v>
      </c>
      <c r="L191" s="11" t="s">
        <v>26</v>
      </c>
      <c r="M191" s="8">
        <v>63</v>
      </c>
      <c r="N191" s="8">
        <v>27</v>
      </c>
      <c r="O191" s="8">
        <v>90</v>
      </c>
      <c r="P191" s="12">
        <v>0.71</v>
      </c>
      <c r="Q191" s="13">
        <v>108000</v>
      </c>
      <c r="R191" s="10">
        <v>9</v>
      </c>
      <c r="S191" s="10">
        <v>4</v>
      </c>
      <c r="T191" s="10">
        <v>5</v>
      </c>
      <c r="U191">
        <f t="shared" si="2"/>
        <v>145</v>
      </c>
    </row>
    <row r="192" spans="1:21" x14ac:dyDescent="0.25">
      <c r="A192" s="21">
        <v>930001376</v>
      </c>
      <c r="B192" s="7" t="s">
        <v>312</v>
      </c>
      <c r="C192" s="8" t="s">
        <v>21</v>
      </c>
      <c r="D192" s="7" t="s">
        <v>29</v>
      </c>
      <c r="E192" s="7" t="s">
        <v>35</v>
      </c>
      <c r="F192" s="7">
        <v>93200201</v>
      </c>
      <c r="G192" s="7" t="s">
        <v>39</v>
      </c>
      <c r="H192" s="7">
        <v>300310001</v>
      </c>
      <c r="I192" s="7" t="s">
        <v>32</v>
      </c>
      <c r="J192" s="9">
        <v>66800</v>
      </c>
      <c r="K192" s="10">
        <v>209</v>
      </c>
      <c r="L192" s="11" t="s">
        <v>33</v>
      </c>
      <c r="M192" s="8">
        <v>43</v>
      </c>
      <c r="N192" s="8">
        <v>20</v>
      </c>
      <c r="O192" s="8">
        <v>63</v>
      </c>
      <c r="P192" s="12">
        <v>0.45</v>
      </c>
      <c r="Q192" s="13">
        <v>37800</v>
      </c>
      <c r="R192" s="10">
        <v>6</v>
      </c>
      <c r="S192" s="10">
        <v>5</v>
      </c>
      <c r="T192" s="10">
        <v>1</v>
      </c>
      <c r="U192">
        <f t="shared" si="2"/>
        <v>205</v>
      </c>
    </row>
    <row r="193" spans="1:21" x14ac:dyDescent="0.25">
      <c r="A193" s="21">
        <v>930001377</v>
      </c>
      <c r="B193" s="7" t="s">
        <v>313</v>
      </c>
      <c r="C193" s="8" t="s">
        <v>21</v>
      </c>
      <c r="D193" s="7" t="s">
        <v>29</v>
      </c>
      <c r="E193" s="7" t="s">
        <v>41</v>
      </c>
      <c r="F193" s="7">
        <v>93000101</v>
      </c>
      <c r="G193" s="7" t="s">
        <v>42</v>
      </c>
      <c r="H193" s="7">
        <v>300310001</v>
      </c>
      <c r="I193" s="7" t="s">
        <v>32</v>
      </c>
      <c r="J193" s="9">
        <v>91200</v>
      </c>
      <c r="K193" s="10">
        <v>182</v>
      </c>
      <c r="L193" s="11" t="s">
        <v>33</v>
      </c>
      <c r="M193" s="8">
        <v>57</v>
      </c>
      <c r="N193" s="8">
        <v>17</v>
      </c>
      <c r="O193" s="8">
        <v>74</v>
      </c>
      <c r="P193" s="12">
        <v>0.55000000000000004</v>
      </c>
      <c r="Q193" s="13">
        <v>59200</v>
      </c>
      <c r="R193" s="10">
        <v>8</v>
      </c>
      <c r="S193" s="10">
        <v>6</v>
      </c>
      <c r="T193" s="10">
        <v>2</v>
      </c>
      <c r="U193">
        <f t="shared" si="2"/>
        <v>153</v>
      </c>
    </row>
    <row r="194" spans="1:21" x14ac:dyDescent="0.25">
      <c r="A194" s="21">
        <v>930001378</v>
      </c>
      <c r="B194" s="7" t="s">
        <v>314</v>
      </c>
      <c r="C194" s="8" t="s">
        <v>21</v>
      </c>
      <c r="D194" s="7" t="s">
        <v>29</v>
      </c>
      <c r="E194" s="7" t="s">
        <v>35</v>
      </c>
      <c r="F194" s="7">
        <v>302320002</v>
      </c>
      <c r="G194" s="7" t="s">
        <v>36</v>
      </c>
      <c r="H194" s="7">
        <v>300310001</v>
      </c>
      <c r="I194" s="7" t="s">
        <v>32</v>
      </c>
      <c r="J194" s="9">
        <v>62000</v>
      </c>
      <c r="K194" s="10">
        <v>215</v>
      </c>
      <c r="L194" s="11" t="s">
        <v>33</v>
      </c>
      <c r="M194" s="8">
        <v>26</v>
      </c>
      <c r="N194" s="8">
        <v>16</v>
      </c>
      <c r="O194" s="8">
        <v>42</v>
      </c>
      <c r="P194" s="12">
        <v>0.3</v>
      </c>
      <c r="Q194" s="13">
        <v>0</v>
      </c>
      <c r="R194" s="10">
        <v>6</v>
      </c>
      <c r="S194" s="10">
        <v>2</v>
      </c>
      <c r="T194" s="10">
        <v>4</v>
      </c>
      <c r="U194">
        <f t="shared" ref="U194:U257" si="3">_xlfn.RANK.EQ(R194,$R$2:$R$309,0)
 + COUNTIFS($R$2:$R$309,R194,$B$2:$B$309,"&lt;"&amp;B194)</f>
        <v>185</v>
      </c>
    </row>
    <row r="195" spans="1:21" x14ac:dyDescent="0.25">
      <c r="A195" s="21">
        <v>930001379</v>
      </c>
      <c r="B195" s="7" t="s">
        <v>315</v>
      </c>
      <c r="C195" s="8" t="s">
        <v>21</v>
      </c>
      <c r="D195" s="7" t="s">
        <v>29</v>
      </c>
      <c r="E195" s="7" t="s">
        <v>118</v>
      </c>
      <c r="F195" s="7">
        <v>300710002</v>
      </c>
      <c r="G195" s="7" t="s">
        <v>119</v>
      </c>
      <c r="H195" s="7">
        <v>300310001</v>
      </c>
      <c r="I195" s="7" t="s">
        <v>32</v>
      </c>
      <c r="J195" s="9">
        <v>71600</v>
      </c>
      <c r="K195" s="10">
        <v>204</v>
      </c>
      <c r="L195" s="11" t="s">
        <v>33</v>
      </c>
      <c r="M195" s="8">
        <v>22</v>
      </c>
      <c r="N195" s="8">
        <v>6</v>
      </c>
      <c r="O195" s="8">
        <v>28</v>
      </c>
      <c r="P195" s="12">
        <v>0.77</v>
      </c>
      <c r="Q195" s="13">
        <v>33600</v>
      </c>
      <c r="R195" s="10">
        <v>5</v>
      </c>
      <c r="S195" s="10">
        <v>3</v>
      </c>
      <c r="T195" s="10">
        <v>2</v>
      </c>
      <c r="U195">
        <f t="shared" si="3"/>
        <v>219</v>
      </c>
    </row>
    <row r="196" spans="1:21" x14ac:dyDescent="0.25">
      <c r="A196" s="21">
        <v>93000150</v>
      </c>
      <c r="B196" s="7" t="s">
        <v>316</v>
      </c>
      <c r="C196" s="8" t="s">
        <v>21</v>
      </c>
      <c r="D196" s="7" t="s">
        <v>91</v>
      </c>
      <c r="E196" s="7" t="s">
        <v>107</v>
      </c>
      <c r="F196" s="7">
        <v>290013</v>
      </c>
      <c r="G196" s="7" t="s">
        <v>110</v>
      </c>
      <c r="H196" s="7">
        <v>410000011</v>
      </c>
      <c r="I196" s="7" t="s">
        <v>94</v>
      </c>
      <c r="J196" s="9">
        <v>0</v>
      </c>
      <c r="K196" s="10">
        <v>274</v>
      </c>
      <c r="L196" s="11" t="s">
        <v>33</v>
      </c>
      <c r="M196" s="8">
        <v>15</v>
      </c>
      <c r="N196" s="8">
        <v>18</v>
      </c>
      <c r="O196" s="8">
        <v>33</v>
      </c>
      <c r="P196" s="12">
        <v>0.39</v>
      </c>
      <c r="Q196" s="13">
        <v>0</v>
      </c>
      <c r="R196" s="10">
        <v>1</v>
      </c>
      <c r="S196" s="10">
        <v>2</v>
      </c>
      <c r="T196" s="10">
        <v>0</v>
      </c>
      <c r="U196">
        <f t="shared" si="3"/>
        <v>271</v>
      </c>
    </row>
    <row r="197" spans="1:21" x14ac:dyDescent="0.25">
      <c r="A197" s="21">
        <v>9400000223</v>
      </c>
      <c r="B197" s="7" t="s">
        <v>317</v>
      </c>
      <c r="C197" s="8" t="s">
        <v>21</v>
      </c>
      <c r="D197" s="7" t="s">
        <v>91</v>
      </c>
      <c r="E197" s="7" t="s">
        <v>107</v>
      </c>
      <c r="F197" s="7">
        <v>93200205</v>
      </c>
      <c r="G197" s="7" t="s">
        <v>108</v>
      </c>
      <c r="H197" s="7">
        <v>410000011</v>
      </c>
      <c r="I197" s="7" t="s">
        <v>94</v>
      </c>
      <c r="J197" s="9">
        <v>61600</v>
      </c>
      <c r="K197" s="10">
        <v>217</v>
      </c>
      <c r="L197" s="11" t="s">
        <v>33</v>
      </c>
      <c r="M197" s="8">
        <v>34</v>
      </c>
      <c r="N197" s="8">
        <v>22</v>
      </c>
      <c r="O197" s="8">
        <v>56</v>
      </c>
      <c r="P197" s="12">
        <v>0.44</v>
      </c>
      <c r="Q197" s="13">
        <v>33600</v>
      </c>
      <c r="R197" s="10">
        <v>5</v>
      </c>
      <c r="S197" s="10">
        <v>1</v>
      </c>
      <c r="T197" s="10">
        <v>4</v>
      </c>
      <c r="U197">
        <f t="shared" si="3"/>
        <v>220</v>
      </c>
    </row>
    <row r="198" spans="1:21" x14ac:dyDescent="0.25">
      <c r="A198" s="21">
        <v>9400000224</v>
      </c>
      <c r="B198" s="7" t="s">
        <v>318</v>
      </c>
      <c r="C198" s="8" t="s">
        <v>21</v>
      </c>
      <c r="D198" s="7" t="s">
        <v>91</v>
      </c>
      <c r="E198" s="7" t="s">
        <v>107</v>
      </c>
      <c r="F198" s="7">
        <v>93200205</v>
      </c>
      <c r="G198" s="7" t="s">
        <v>108</v>
      </c>
      <c r="H198" s="7">
        <v>410000011</v>
      </c>
      <c r="I198" s="7" t="s">
        <v>94</v>
      </c>
      <c r="J198" s="9">
        <v>65600</v>
      </c>
      <c r="K198" s="10">
        <v>212</v>
      </c>
      <c r="L198" s="11" t="s">
        <v>33</v>
      </c>
      <c r="M198" s="8">
        <v>21</v>
      </c>
      <c r="N198" s="8">
        <v>21</v>
      </c>
      <c r="O198" s="8">
        <v>42</v>
      </c>
      <c r="P198" s="12">
        <v>0.51</v>
      </c>
      <c r="Q198" s="13">
        <v>33600</v>
      </c>
      <c r="R198" s="10">
        <v>3</v>
      </c>
      <c r="S198" s="10">
        <v>1</v>
      </c>
      <c r="T198" s="10">
        <v>2</v>
      </c>
      <c r="U198">
        <f t="shared" si="3"/>
        <v>234</v>
      </c>
    </row>
    <row r="199" spans="1:21" x14ac:dyDescent="0.25">
      <c r="A199" s="21">
        <v>9400000225</v>
      </c>
      <c r="B199" s="7" t="s">
        <v>319</v>
      </c>
      <c r="C199" s="8" t="s">
        <v>21</v>
      </c>
      <c r="D199" s="7" t="s">
        <v>91</v>
      </c>
      <c r="E199" s="7" t="s">
        <v>107</v>
      </c>
      <c r="F199" s="7">
        <v>290013</v>
      </c>
      <c r="G199" s="7" t="s">
        <v>110</v>
      </c>
      <c r="H199" s="7">
        <v>410000011</v>
      </c>
      <c r="I199" s="7" t="s">
        <v>94</v>
      </c>
      <c r="J199" s="9">
        <v>0</v>
      </c>
      <c r="K199" s="10">
        <v>274</v>
      </c>
      <c r="L199" s="11" t="s">
        <v>33</v>
      </c>
      <c r="M199" s="8">
        <v>7</v>
      </c>
      <c r="N199" s="8">
        <v>12</v>
      </c>
      <c r="O199" s="8">
        <v>19</v>
      </c>
      <c r="P199" s="12">
        <v>0.39</v>
      </c>
      <c r="Q199" s="13">
        <v>0</v>
      </c>
      <c r="R199" s="10">
        <v>1</v>
      </c>
      <c r="S199" s="10">
        <v>1</v>
      </c>
      <c r="T199" s="10">
        <v>0</v>
      </c>
      <c r="U199">
        <f t="shared" si="3"/>
        <v>265</v>
      </c>
    </row>
    <row r="200" spans="1:21" x14ac:dyDescent="0.25">
      <c r="A200" s="21">
        <v>9400000226</v>
      </c>
      <c r="B200" s="7" t="s">
        <v>320</v>
      </c>
      <c r="C200" s="8" t="s">
        <v>21</v>
      </c>
      <c r="D200" s="7" t="s">
        <v>91</v>
      </c>
      <c r="E200" s="7" t="s">
        <v>107</v>
      </c>
      <c r="F200" s="7">
        <v>290013</v>
      </c>
      <c r="G200" s="7" t="s">
        <v>110</v>
      </c>
      <c r="H200" s="7">
        <v>410000011</v>
      </c>
      <c r="I200" s="7" t="s">
        <v>94</v>
      </c>
      <c r="J200" s="9">
        <v>39400</v>
      </c>
      <c r="K200" s="10">
        <v>239</v>
      </c>
      <c r="L200" s="11" t="s">
        <v>33</v>
      </c>
      <c r="M200" s="8">
        <v>32</v>
      </c>
      <c r="N200" s="8">
        <v>17</v>
      </c>
      <c r="O200" s="8">
        <v>49</v>
      </c>
      <c r="P200" s="12">
        <v>0.46</v>
      </c>
      <c r="Q200" s="13">
        <v>29400</v>
      </c>
      <c r="R200" s="10">
        <v>3</v>
      </c>
      <c r="S200" s="10">
        <v>1</v>
      </c>
      <c r="T200" s="10">
        <v>2</v>
      </c>
      <c r="U200">
        <f t="shared" si="3"/>
        <v>238</v>
      </c>
    </row>
    <row r="201" spans="1:21" x14ac:dyDescent="0.25">
      <c r="A201" s="21">
        <v>9400000227</v>
      </c>
      <c r="B201" s="7" t="s">
        <v>321</v>
      </c>
      <c r="C201" s="8" t="s">
        <v>21</v>
      </c>
      <c r="D201" s="7" t="s">
        <v>91</v>
      </c>
      <c r="E201" s="7" t="s">
        <v>107</v>
      </c>
      <c r="F201" s="7">
        <v>93200205</v>
      </c>
      <c r="G201" s="7" t="s">
        <v>108</v>
      </c>
      <c r="H201" s="7">
        <v>410000011</v>
      </c>
      <c r="I201" s="7" t="s">
        <v>94</v>
      </c>
      <c r="J201" s="9">
        <v>11000</v>
      </c>
      <c r="K201" s="10">
        <v>262</v>
      </c>
      <c r="L201" s="11" t="s">
        <v>33</v>
      </c>
      <c r="M201" s="8">
        <v>13</v>
      </c>
      <c r="N201" s="8">
        <v>8</v>
      </c>
      <c r="O201" s="8">
        <v>21</v>
      </c>
      <c r="P201" s="12">
        <v>0.26</v>
      </c>
      <c r="Q201" s="13">
        <v>0</v>
      </c>
      <c r="R201" s="10">
        <v>1</v>
      </c>
      <c r="S201" s="10">
        <v>0</v>
      </c>
      <c r="T201" s="10">
        <v>1</v>
      </c>
      <c r="U201">
        <f t="shared" si="3"/>
        <v>260</v>
      </c>
    </row>
    <row r="202" spans="1:21" x14ac:dyDescent="0.25">
      <c r="A202" s="21">
        <v>9400000228</v>
      </c>
      <c r="B202" s="7" t="s">
        <v>322</v>
      </c>
      <c r="C202" s="8" t="s">
        <v>21</v>
      </c>
      <c r="D202" s="7" t="s">
        <v>91</v>
      </c>
      <c r="E202" s="7" t="s">
        <v>107</v>
      </c>
      <c r="F202" s="7">
        <v>290013</v>
      </c>
      <c r="G202" s="7" t="s">
        <v>110</v>
      </c>
      <c r="H202" s="7">
        <v>410000011</v>
      </c>
      <c r="I202" s="7" t="s">
        <v>94</v>
      </c>
      <c r="J202" s="9">
        <v>13800</v>
      </c>
      <c r="K202" s="10">
        <v>260</v>
      </c>
      <c r="L202" s="11" t="s">
        <v>33</v>
      </c>
      <c r="M202" s="8">
        <v>13</v>
      </c>
      <c r="N202" s="8">
        <v>10</v>
      </c>
      <c r="O202" s="8">
        <v>23</v>
      </c>
      <c r="P202" s="12">
        <v>0.42</v>
      </c>
      <c r="Q202" s="13">
        <v>13800</v>
      </c>
      <c r="R202" s="10">
        <v>1</v>
      </c>
      <c r="S202" s="10">
        <v>1</v>
      </c>
      <c r="T202" s="10">
        <v>0</v>
      </c>
      <c r="U202">
        <f t="shared" si="3"/>
        <v>273</v>
      </c>
    </row>
    <row r="203" spans="1:21" x14ac:dyDescent="0.25">
      <c r="A203" s="21">
        <v>940000204</v>
      </c>
      <c r="B203" s="7" t="s">
        <v>323</v>
      </c>
      <c r="C203" s="8" t="s">
        <v>21</v>
      </c>
      <c r="D203" s="7" t="s">
        <v>91</v>
      </c>
      <c r="E203" s="7" t="s">
        <v>92</v>
      </c>
      <c r="F203" s="7">
        <v>920001000</v>
      </c>
      <c r="G203" s="7" t="s">
        <v>93</v>
      </c>
      <c r="H203" s="7">
        <v>410000011</v>
      </c>
      <c r="I203" s="7" t="s">
        <v>94</v>
      </c>
      <c r="J203" s="9">
        <v>56400</v>
      </c>
      <c r="K203" s="10">
        <v>220</v>
      </c>
      <c r="L203" s="11" t="s">
        <v>33</v>
      </c>
      <c r="M203" s="8">
        <v>27</v>
      </c>
      <c r="N203" s="8">
        <v>22</v>
      </c>
      <c r="O203" s="8">
        <v>49</v>
      </c>
      <c r="P203" s="12">
        <v>0.49</v>
      </c>
      <c r="Q203" s="13">
        <v>29400</v>
      </c>
      <c r="R203" s="10">
        <v>4</v>
      </c>
      <c r="S203" s="10">
        <v>3</v>
      </c>
      <c r="T203" s="10">
        <v>1</v>
      </c>
      <c r="U203">
        <f t="shared" si="3"/>
        <v>222</v>
      </c>
    </row>
    <row r="204" spans="1:21" x14ac:dyDescent="0.25">
      <c r="A204" s="21">
        <v>940000205</v>
      </c>
      <c r="B204" s="7" t="s">
        <v>324</v>
      </c>
      <c r="C204" s="8" t="s">
        <v>21</v>
      </c>
      <c r="D204" s="7" t="s">
        <v>91</v>
      </c>
      <c r="E204" s="7" t="s">
        <v>92</v>
      </c>
      <c r="F204" s="7">
        <v>920001000</v>
      </c>
      <c r="G204" s="7" t="s">
        <v>93</v>
      </c>
      <c r="H204" s="7">
        <v>410000011</v>
      </c>
      <c r="I204" s="7" t="s">
        <v>94</v>
      </c>
      <c r="J204" s="9">
        <v>109000</v>
      </c>
      <c r="K204" s="10">
        <v>161</v>
      </c>
      <c r="L204" s="11" t="s">
        <v>26</v>
      </c>
      <c r="M204" s="8">
        <v>20</v>
      </c>
      <c r="N204" s="8">
        <v>20</v>
      </c>
      <c r="O204" s="8">
        <v>40</v>
      </c>
      <c r="P204" s="12">
        <v>0.53</v>
      </c>
      <c r="Q204" s="13">
        <v>32000</v>
      </c>
      <c r="R204" s="10">
        <v>6</v>
      </c>
      <c r="S204" s="10">
        <v>3</v>
      </c>
      <c r="T204" s="10">
        <v>3</v>
      </c>
      <c r="U204">
        <f t="shared" si="3"/>
        <v>188</v>
      </c>
    </row>
    <row r="205" spans="1:21" x14ac:dyDescent="0.25">
      <c r="A205" s="21">
        <v>940000209</v>
      </c>
      <c r="B205" s="7" t="s">
        <v>325</v>
      </c>
      <c r="C205" s="8" t="s">
        <v>21</v>
      </c>
      <c r="D205" s="7" t="s">
        <v>91</v>
      </c>
      <c r="E205" s="7" t="s">
        <v>92</v>
      </c>
      <c r="F205" s="7">
        <v>92000107</v>
      </c>
      <c r="G205" s="7" t="s">
        <v>274</v>
      </c>
      <c r="H205" s="7">
        <v>410000011</v>
      </c>
      <c r="I205" s="7" t="s">
        <v>94</v>
      </c>
      <c r="J205" s="9">
        <v>76800</v>
      </c>
      <c r="K205" s="10">
        <v>198</v>
      </c>
      <c r="L205" s="11" t="s">
        <v>33</v>
      </c>
      <c r="M205" s="8">
        <v>12</v>
      </c>
      <c r="N205" s="8">
        <v>41</v>
      </c>
      <c r="O205" s="8">
        <v>53</v>
      </c>
      <c r="P205" s="12">
        <v>0.4</v>
      </c>
      <c r="Q205" s="13">
        <v>31800</v>
      </c>
      <c r="R205" s="10">
        <v>4</v>
      </c>
      <c r="S205" s="10">
        <v>1</v>
      </c>
      <c r="T205" s="10">
        <v>3</v>
      </c>
      <c r="U205">
        <f t="shared" si="3"/>
        <v>229</v>
      </c>
    </row>
    <row r="206" spans="1:21" x14ac:dyDescent="0.25">
      <c r="A206" s="21">
        <v>940000220</v>
      </c>
      <c r="B206" s="7" t="s">
        <v>326</v>
      </c>
      <c r="C206" s="8" t="s">
        <v>21</v>
      </c>
      <c r="D206" s="7" t="s">
        <v>91</v>
      </c>
      <c r="E206" s="7" t="s">
        <v>92</v>
      </c>
      <c r="F206" s="7">
        <v>9200010001</v>
      </c>
      <c r="G206" s="7" t="s">
        <v>112</v>
      </c>
      <c r="H206" s="7">
        <v>410000011</v>
      </c>
      <c r="I206" s="7" t="s">
        <v>94</v>
      </c>
      <c r="J206" s="9">
        <v>7000</v>
      </c>
      <c r="K206" s="10">
        <v>265</v>
      </c>
      <c r="L206" s="11" t="s">
        <v>33</v>
      </c>
      <c r="M206" s="8">
        <v>8</v>
      </c>
      <c r="N206" s="8">
        <v>6</v>
      </c>
      <c r="O206" s="8">
        <v>14</v>
      </c>
      <c r="P206" s="12">
        <v>0.39</v>
      </c>
      <c r="Q206" s="14">
        <v>0</v>
      </c>
      <c r="R206" s="10">
        <v>1</v>
      </c>
      <c r="S206" s="10">
        <v>0</v>
      </c>
      <c r="T206" s="10">
        <v>1</v>
      </c>
      <c r="U206">
        <f t="shared" si="3"/>
        <v>266</v>
      </c>
    </row>
    <row r="207" spans="1:21" x14ac:dyDescent="0.25">
      <c r="A207" s="21">
        <v>940000221</v>
      </c>
      <c r="B207" s="7" t="s">
        <v>327</v>
      </c>
      <c r="C207" s="8" t="s">
        <v>21</v>
      </c>
      <c r="D207" s="7" t="s">
        <v>91</v>
      </c>
      <c r="E207" s="7" t="s">
        <v>92</v>
      </c>
      <c r="F207" s="7">
        <v>920001000</v>
      </c>
      <c r="G207" s="7" t="s">
        <v>93</v>
      </c>
      <c r="H207" s="7">
        <v>410000011</v>
      </c>
      <c r="I207" s="7" t="s">
        <v>94</v>
      </c>
      <c r="J207" s="9">
        <v>134800</v>
      </c>
      <c r="K207" s="10">
        <v>121</v>
      </c>
      <c r="L207" s="11" t="s">
        <v>26</v>
      </c>
      <c r="M207" s="8">
        <v>46</v>
      </c>
      <c r="N207" s="8">
        <v>10</v>
      </c>
      <c r="O207" s="8">
        <v>56</v>
      </c>
      <c r="P207" s="12">
        <v>0.56999999999999995</v>
      </c>
      <c r="Q207" s="13">
        <v>44800</v>
      </c>
      <c r="R207" s="10">
        <v>7</v>
      </c>
      <c r="S207" s="10">
        <v>1</v>
      </c>
      <c r="T207" s="10">
        <v>6</v>
      </c>
      <c r="U207">
        <f t="shared" si="3"/>
        <v>183</v>
      </c>
    </row>
    <row r="208" spans="1:21" x14ac:dyDescent="0.25">
      <c r="A208" s="21">
        <v>940000230</v>
      </c>
      <c r="B208" s="7" t="s">
        <v>328</v>
      </c>
      <c r="C208" s="8" t="s">
        <v>21</v>
      </c>
      <c r="D208" s="7" t="s">
        <v>91</v>
      </c>
      <c r="E208" s="7" t="s">
        <v>92</v>
      </c>
      <c r="F208" s="7">
        <v>92000107</v>
      </c>
      <c r="G208" s="7" t="s">
        <v>274</v>
      </c>
      <c r="H208" s="7">
        <v>410000011</v>
      </c>
      <c r="I208" s="7" t="s">
        <v>94</v>
      </c>
      <c r="J208" s="9">
        <v>91200</v>
      </c>
      <c r="K208" s="10">
        <v>182</v>
      </c>
      <c r="L208" s="11" t="s">
        <v>33</v>
      </c>
      <c r="M208" s="8">
        <v>16</v>
      </c>
      <c r="N208" s="8">
        <v>48</v>
      </c>
      <c r="O208" s="8">
        <v>64</v>
      </c>
      <c r="P208" s="12">
        <v>0.54</v>
      </c>
      <c r="Q208" s="13">
        <v>51200</v>
      </c>
      <c r="R208" s="10">
        <v>5</v>
      </c>
      <c r="S208" s="10">
        <v>3</v>
      </c>
      <c r="T208" s="10">
        <v>2</v>
      </c>
      <c r="U208">
        <f t="shared" si="3"/>
        <v>208</v>
      </c>
    </row>
    <row r="209" spans="1:21" x14ac:dyDescent="0.25">
      <c r="A209" s="21">
        <v>940000231</v>
      </c>
      <c r="B209" s="7" t="s">
        <v>329</v>
      </c>
      <c r="C209" s="8" t="s">
        <v>21</v>
      </c>
      <c r="D209" s="7" t="s">
        <v>91</v>
      </c>
      <c r="E209" s="7" t="s">
        <v>92</v>
      </c>
      <c r="F209" s="7">
        <v>9200010001</v>
      </c>
      <c r="G209" s="7" t="s">
        <v>112</v>
      </c>
      <c r="H209" s="7">
        <v>410000011</v>
      </c>
      <c r="I209" s="7" t="s">
        <v>94</v>
      </c>
      <c r="J209" s="9">
        <v>55600</v>
      </c>
      <c r="K209" s="10">
        <v>221</v>
      </c>
      <c r="L209" s="11" t="s">
        <v>33</v>
      </c>
      <c r="M209" s="8">
        <v>14</v>
      </c>
      <c r="N209" s="8">
        <v>28</v>
      </c>
      <c r="O209" s="8">
        <v>42</v>
      </c>
      <c r="P209" s="12">
        <v>0.53</v>
      </c>
      <c r="Q209" s="13">
        <v>33600</v>
      </c>
      <c r="R209" s="10">
        <v>4</v>
      </c>
      <c r="S209" s="10">
        <v>0</v>
      </c>
      <c r="T209" s="10">
        <v>4</v>
      </c>
      <c r="U209">
        <f t="shared" si="3"/>
        <v>226</v>
      </c>
    </row>
    <row r="210" spans="1:21" x14ac:dyDescent="0.25">
      <c r="A210" s="21">
        <v>940000287</v>
      </c>
      <c r="B210" s="7" t="s">
        <v>330</v>
      </c>
      <c r="C210" s="8" t="s">
        <v>21</v>
      </c>
      <c r="D210" s="7" t="s">
        <v>91</v>
      </c>
      <c r="E210" s="7" t="s">
        <v>271</v>
      </c>
      <c r="F210" s="7">
        <v>920000341</v>
      </c>
      <c r="G210" s="7" t="s">
        <v>272</v>
      </c>
      <c r="H210" s="7">
        <v>410000011</v>
      </c>
      <c r="I210" s="7" t="s">
        <v>94</v>
      </c>
      <c r="J210" s="9">
        <v>0</v>
      </c>
      <c r="K210" s="10">
        <v>274</v>
      </c>
      <c r="L210" s="11" t="s">
        <v>33</v>
      </c>
      <c r="M210" s="8">
        <v>7</v>
      </c>
      <c r="N210" s="8">
        <v>10</v>
      </c>
      <c r="O210" s="8">
        <v>17</v>
      </c>
      <c r="P210" s="12">
        <v>0.39</v>
      </c>
      <c r="Q210" s="13">
        <v>0</v>
      </c>
      <c r="R210" s="10">
        <v>0</v>
      </c>
      <c r="S210" s="10">
        <v>2</v>
      </c>
      <c r="T210" s="10">
        <v>0</v>
      </c>
      <c r="U210">
        <f t="shared" si="3"/>
        <v>276</v>
      </c>
    </row>
    <row r="211" spans="1:21" x14ac:dyDescent="0.25">
      <c r="A211" s="21">
        <v>940000288</v>
      </c>
      <c r="B211" s="7" t="s">
        <v>331</v>
      </c>
      <c r="C211" s="8" t="s">
        <v>21</v>
      </c>
      <c r="D211" s="7" t="s">
        <v>91</v>
      </c>
      <c r="E211" s="7" t="s">
        <v>271</v>
      </c>
      <c r="F211" s="7">
        <v>920000341</v>
      </c>
      <c r="G211" s="7" t="s">
        <v>272</v>
      </c>
      <c r="H211" s="7">
        <v>410000011</v>
      </c>
      <c r="I211" s="7" t="s">
        <v>94</v>
      </c>
      <c r="J211" s="9">
        <v>48000</v>
      </c>
      <c r="K211" s="10">
        <v>228</v>
      </c>
      <c r="L211" s="11" t="s">
        <v>33</v>
      </c>
      <c r="M211" s="8">
        <v>35</v>
      </c>
      <c r="N211" s="8">
        <v>20</v>
      </c>
      <c r="O211" s="8">
        <v>55</v>
      </c>
      <c r="P211" s="12">
        <v>0.49</v>
      </c>
      <c r="Q211" s="13">
        <v>33000</v>
      </c>
      <c r="R211" s="10">
        <v>3</v>
      </c>
      <c r="S211" s="10">
        <v>2</v>
      </c>
      <c r="T211" s="10">
        <v>1</v>
      </c>
      <c r="U211">
        <f t="shared" si="3"/>
        <v>239</v>
      </c>
    </row>
    <row r="212" spans="1:21" x14ac:dyDescent="0.25">
      <c r="A212" s="21">
        <v>940000302</v>
      </c>
      <c r="B212" s="7" t="s">
        <v>426</v>
      </c>
      <c r="C212" s="8" t="s">
        <v>21</v>
      </c>
      <c r="D212" s="7" t="s">
        <v>91</v>
      </c>
      <c r="E212" s="7" t="s">
        <v>271</v>
      </c>
      <c r="F212" s="7">
        <v>920000341</v>
      </c>
      <c r="G212" s="7" t="s">
        <v>272</v>
      </c>
      <c r="H212" s="7">
        <v>410000011</v>
      </c>
      <c r="I212" s="7" t="s">
        <v>94</v>
      </c>
      <c r="J212" s="9">
        <v>21000</v>
      </c>
      <c r="K212" s="10">
        <v>255</v>
      </c>
      <c r="L212" s="11" t="s">
        <v>33</v>
      </c>
      <c r="M212" s="8">
        <v>6</v>
      </c>
      <c r="N212" s="8">
        <v>11</v>
      </c>
      <c r="O212" s="8">
        <v>17</v>
      </c>
      <c r="P212" s="12">
        <v>0.6</v>
      </c>
      <c r="Q212" s="13">
        <v>17000</v>
      </c>
      <c r="R212" s="10">
        <v>1</v>
      </c>
      <c r="S212" s="10">
        <v>1</v>
      </c>
      <c r="T212" s="10">
        <v>0</v>
      </c>
      <c r="U212">
        <f t="shared" si="3"/>
        <v>272</v>
      </c>
    </row>
    <row r="213" spans="1:21" x14ac:dyDescent="0.25">
      <c r="A213" s="21">
        <v>9500001210</v>
      </c>
      <c r="B213" s="7" t="s">
        <v>332</v>
      </c>
      <c r="C213" s="8" t="s">
        <v>21</v>
      </c>
      <c r="D213" s="7" t="s">
        <v>22</v>
      </c>
      <c r="E213" s="7" t="s">
        <v>333</v>
      </c>
      <c r="F213" s="7">
        <v>300120004</v>
      </c>
      <c r="G213" s="7" t="s">
        <v>334</v>
      </c>
      <c r="H213" s="7">
        <v>400000122</v>
      </c>
      <c r="I213" s="7" t="s">
        <v>25</v>
      </c>
      <c r="J213" s="9">
        <v>151600</v>
      </c>
      <c r="K213" s="10">
        <v>96</v>
      </c>
      <c r="L213" s="11" t="s">
        <v>26</v>
      </c>
      <c r="M213" s="8">
        <v>63</v>
      </c>
      <c r="N213" s="8">
        <v>5</v>
      </c>
      <c r="O213" s="8">
        <v>68</v>
      </c>
      <c r="P213" s="12">
        <v>0.79</v>
      </c>
      <c r="Q213" s="13">
        <v>81600</v>
      </c>
      <c r="R213" s="10">
        <v>12</v>
      </c>
      <c r="S213" s="10">
        <v>10</v>
      </c>
      <c r="T213" s="10">
        <v>2</v>
      </c>
      <c r="U213">
        <f t="shared" si="3"/>
        <v>83</v>
      </c>
    </row>
    <row r="214" spans="1:21" x14ac:dyDescent="0.25">
      <c r="A214" s="21">
        <v>9500001211</v>
      </c>
      <c r="B214" s="7" t="s">
        <v>335</v>
      </c>
      <c r="C214" s="8" t="s">
        <v>21</v>
      </c>
      <c r="D214" s="7" t="s">
        <v>22</v>
      </c>
      <c r="E214" s="7" t="s">
        <v>333</v>
      </c>
      <c r="F214" s="7">
        <v>95000116</v>
      </c>
      <c r="G214" s="7" t="s">
        <v>336</v>
      </c>
      <c r="H214" s="7">
        <v>400000122</v>
      </c>
      <c r="I214" s="7" t="s">
        <v>25</v>
      </c>
      <c r="J214" s="9">
        <v>143600</v>
      </c>
      <c r="K214" s="10">
        <v>102</v>
      </c>
      <c r="L214" s="11" t="s">
        <v>26</v>
      </c>
      <c r="M214" s="8">
        <v>88</v>
      </c>
      <c r="N214" s="8">
        <v>30</v>
      </c>
      <c r="O214" s="8">
        <v>118</v>
      </c>
      <c r="P214" s="12">
        <v>0.73</v>
      </c>
      <c r="Q214" s="13">
        <v>141600</v>
      </c>
      <c r="R214" s="10">
        <v>15</v>
      </c>
      <c r="S214" s="10">
        <v>19</v>
      </c>
      <c r="T214" s="10">
        <v>0</v>
      </c>
      <c r="U214">
        <f t="shared" si="3"/>
        <v>41</v>
      </c>
    </row>
    <row r="215" spans="1:21" x14ac:dyDescent="0.25">
      <c r="A215" s="21">
        <v>950000127</v>
      </c>
      <c r="B215" s="7" t="s">
        <v>337</v>
      </c>
      <c r="C215" s="8" t="s">
        <v>21</v>
      </c>
      <c r="D215" s="7" t="s">
        <v>22</v>
      </c>
      <c r="E215" s="7" t="s">
        <v>333</v>
      </c>
      <c r="F215" s="7">
        <v>95000116</v>
      </c>
      <c r="G215" s="7" t="s">
        <v>336</v>
      </c>
      <c r="H215" s="7">
        <v>400000122</v>
      </c>
      <c r="I215" s="7" t="s">
        <v>25</v>
      </c>
      <c r="J215" s="9">
        <v>329000</v>
      </c>
      <c r="K215" s="10">
        <v>16</v>
      </c>
      <c r="L215" s="11" t="s">
        <v>26</v>
      </c>
      <c r="M215" s="8">
        <v>92</v>
      </c>
      <c r="N215" s="8">
        <v>21</v>
      </c>
      <c r="O215" s="8">
        <v>113</v>
      </c>
      <c r="P215" s="12">
        <v>0.65</v>
      </c>
      <c r="Q215" s="13">
        <v>113000</v>
      </c>
      <c r="R215" s="10">
        <v>19</v>
      </c>
      <c r="S215" s="10">
        <v>13</v>
      </c>
      <c r="T215" s="10">
        <v>6</v>
      </c>
      <c r="U215">
        <f t="shared" si="3"/>
        <v>20</v>
      </c>
    </row>
    <row r="216" spans="1:21" x14ac:dyDescent="0.25">
      <c r="A216" s="21">
        <v>950000131</v>
      </c>
      <c r="B216" s="7" t="s">
        <v>338</v>
      </c>
      <c r="C216" s="8" t="s">
        <v>21</v>
      </c>
      <c r="D216" s="7" t="s">
        <v>22</v>
      </c>
      <c r="E216" s="7" t="s">
        <v>70</v>
      </c>
      <c r="F216" s="7">
        <v>953009090</v>
      </c>
      <c r="G216" s="7" t="s">
        <v>339</v>
      </c>
      <c r="H216" s="7">
        <v>400000122</v>
      </c>
      <c r="I216" s="7" t="s">
        <v>25</v>
      </c>
      <c r="J216" s="9">
        <v>215000</v>
      </c>
      <c r="K216" s="10">
        <v>53</v>
      </c>
      <c r="L216" s="11" t="s">
        <v>26</v>
      </c>
      <c r="M216" s="8">
        <v>60</v>
      </c>
      <c r="N216" s="8">
        <v>30</v>
      </c>
      <c r="O216" s="8">
        <v>90</v>
      </c>
      <c r="P216" s="12">
        <v>0.71</v>
      </c>
      <c r="Q216" s="13">
        <v>108000</v>
      </c>
      <c r="R216" s="10">
        <v>13</v>
      </c>
      <c r="S216" s="10">
        <v>10</v>
      </c>
      <c r="T216" s="10">
        <v>3</v>
      </c>
      <c r="U216">
        <f t="shared" si="3"/>
        <v>80</v>
      </c>
    </row>
    <row r="217" spans="1:21" x14ac:dyDescent="0.25">
      <c r="A217" s="21">
        <v>950000135</v>
      </c>
      <c r="B217" s="7" t="s">
        <v>340</v>
      </c>
      <c r="C217" s="8" t="s">
        <v>21</v>
      </c>
      <c r="D217" s="7" t="s">
        <v>22</v>
      </c>
      <c r="E217" s="7" t="s">
        <v>82</v>
      </c>
      <c r="F217" s="7">
        <v>150012</v>
      </c>
      <c r="G217" s="7" t="s">
        <v>341</v>
      </c>
      <c r="H217" s="7">
        <v>400000122</v>
      </c>
      <c r="I217" s="7" t="s">
        <v>25</v>
      </c>
      <c r="J217" s="9">
        <v>74800</v>
      </c>
      <c r="K217" s="10">
        <v>201</v>
      </c>
      <c r="L217" s="11" t="s">
        <v>33</v>
      </c>
      <c r="M217" s="8">
        <v>34</v>
      </c>
      <c r="N217" s="8">
        <v>59</v>
      </c>
      <c r="O217" s="8">
        <v>93</v>
      </c>
      <c r="P217" s="12">
        <v>0.44</v>
      </c>
      <c r="Q217" s="13">
        <v>55800</v>
      </c>
      <c r="R217" s="10">
        <v>6</v>
      </c>
      <c r="S217" s="10">
        <v>5</v>
      </c>
      <c r="T217" s="10">
        <v>1</v>
      </c>
      <c r="U217">
        <f t="shared" si="3"/>
        <v>199</v>
      </c>
    </row>
    <row r="218" spans="1:21" x14ac:dyDescent="0.25">
      <c r="A218" s="21">
        <v>950000136</v>
      </c>
      <c r="B218" s="7" t="s">
        <v>342</v>
      </c>
      <c r="C218" s="8" t="s">
        <v>21</v>
      </c>
      <c r="D218" s="7" t="s">
        <v>22</v>
      </c>
      <c r="E218" s="7" t="s">
        <v>82</v>
      </c>
      <c r="F218" s="7">
        <v>270030</v>
      </c>
      <c r="G218" s="7" t="s">
        <v>296</v>
      </c>
      <c r="H218" s="7">
        <v>400000122</v>
      </c>
      <c r="I218" s="7" t="s">
        <v>25</v>
      </c>
      <c r="J218" s="9">
        <v>164400</v>
      </c>
      <c r="K218" s="10">
        <v>81</v>
      </c>
      <c r="L218" s="11" t="s">
        <v>26</v>
      </c>
      <c r="M218" s="8">
        <v>40</v>
      </c>
      <c r="N218" s="8">
        <v>49</v>
      </c>
      <c r="O218" s="8">
        <v>89</v>
      </c>
      <c r="P218" s="12">
        <v>0.44</v>
      </c>
      <c r="Q218" s="13">
        <v>53400</v>
      </c>
      <c r="R218" s="10">
        <v>11</v>
      </c>
      <c r="S218" s="10">
        <v>8</v>
      </c>
      <c r="T218" s="10">
        <v>3</v>
      </c>
      <c r="U218">
        <f t="shared" si="3"/>
        <v>113</v>
      </c>
    </row>
    <row r="219" spans="1:21" x14ac:dyDescent="0.25">
      <c r="A219" s="21">
        <v>950000137</v>
      </c>
      <c r="B219" s="7" t="s">
        <v>343</v>
      </c>
      <c r="C219" s="8" t="s">
        <v>21</v>
      </c>
      <c r="D219" s="7" t="s">
        <v>22</v>
      </c>
      <c r="E219" s="7" t="s">
        <v>82</v>
      </c>
      <c r="F219" s="7">
        <v>270030</v>
      </c>
      <c r="G219" s="7" t="s">
        <v>296</v>
      </c>
      <c r="H219" s="7">
        <v>400000122</v>
      </c>
      <c r="I219" s="7" t="s">
        <v>25</v>
      </c>
      <c r="J219" s="9">
        <v>0</v>
      </c>
      <c r="K219" s="10">
        <v>274</v>
      </c>
      <c r="L219" s="11" t="s">
        <v>33</v>
      </c>
      <c r="M219" s="8">
        <v>0</v>
      </c>
      <c r="N219" s="8">
        <v>0</v>
      </c>
      <c r="O219" s="8">
        <v>0</v>
      </c>
      <c r="P219" s="12">
        <v>0</v>
      </c>
      <c r="Q219" s="13">
        <v>0</v>
      </c>
      <c r="R219" s="10">
        <v>0</v>
      </c>
      <c r="S219" s="10">
        <v>0</v>
      </c>
      <c r="T219" s="10">
        <v>0</v>
      </c>
      <c r="U219">
        <f t="shared" si="3"/>
        <v>307</v>
      </c>
    </row>
    <row r="220" spans="1:21" x14ac:dyDescent="0.25">
      <c r="A220" s="21">
        <v>950000142</v>
      </c>
      <c r="B220" s="7" t="s">
        <v>344</v>
      </c>
      <c r="C220" s="8" t="s">
        <v>21</v>
      </c>
      <c r="D220" s="7" t="s">
        <v>22</v>
      </c>
      <c r="E220" s="7" t="s">
        <v>23</v>
      </c>
      <c r="F220" s="7">
        <v>270027</v>
      </c>
      <c r="G220" s="7" t="s">
        <v>345</v>
      </c>
      <c r="H220" s="7">
        <v>400000122</v>
      </c>
      <c r="I220" s="7" t="s">
        <v>25</v>
      </c>
      <c r="J220" s="9">
        <v>207400</v>
      </c>
      <c r="K220" s="10">
        <v>56</v>
      </c>
      <c r="L220" s="11" t="s">
        <v>26</v>
      </c>
      <c r="M220" s="8">
        <v>87</v>
      </c>
      <c r="N220" s="8">
        <v>41</v>
      </c>
      <c r="O220" s="8">
        <v>128</v>
      </c>
      <c r="P220" s="12">
        <v>0.5</v>
      </c>
      <c r="Q220" s="13">
        <v>102400</v>
      </c>
      <c r="R220" s="10">
        <v>14</v>
      </c>
      <c r="S220" s="10">
        <v>11</v>
      </c>
      <c r="T220" s="10">
        <v>3</v>
      </c>
      <c r="U220">
        <f t="shared" si="3"/>
        <v>51</v>
      </c>
    </row>
    <row r="221" spans="1:21" x14ac:dyDescent="0.25">
      <c r="A221" s="21">
        <v>950000143</v>
      </c>
      <c r="B221" s="7" t="s">
        <v>346</v>
      </c>
      <c r="C221" s="8" t="s">
        <v>21</v>
      </c>
      <c r="D221" s="7" t="s">
        <v>22</v>
      </c>
      <c r="E221" s="7" t="s">
        <v>23</v>
      </c>
      <c r="F221" s="7">
        <v>270027</v>
      </c>
      <c r="G221" s="7" t="s">
        <v>345</v>
      </c>
      <c r="H221" s="7">
        <v>400000122</v>
      </c>
      <c r="I221" s="7" t="s">
        <v>25</v>
      </c>
      <c r="J221" s="9">
        <v>290000</v>
      </c>
      <c r="K221" s="10">
        <v>19</v>
      </c>
      <c r="L221" s="11" t="s">
        <v>26</v>
      </c>
      <c r="M221" s="8">
        <v>87</v>
      </c>
      <c r="N221" s="8">
        <v>28</v>
      </c>
      <c r="O221" s="8">
        <v>115</v>
      </c>
      <c r="P221" s="12">
        <v>0.68</v>
      </c>
      <c r="Q221" s="13">
        <v>115000</v>
      </c>
      <c r="R221" s="10">
        <v>16</v>
      </c>
      <c r="S221" s="10">
        <v>11</v>
      </c>
      <c r="T221" s="10">
        <v>5</v>
      </c>
      <c r="U221">
        <f t="shared" si="3"/>
        <v>37</v>
      </c>
    </row>
    <row r="222" spans="1:21" x14ac:dyDescent="0.25">
      <c r="A222" s="21">
        <v>950000153</v>
      </c>
      <c r="B222" s="7" t="s">
        <v>347</v>
      </c>
      <c r="C222" s="8" t="s">
        <v>21</v>
      </c>
      <c r="D222" s="7" t="s">
        <v>96</v>
      </c>
      <c r="E222" s="7" t="s">
        <v>97</v>
      </c>
      <c r="F222" s="7">
        <v>230019</v>
      </c>
      <c r="G222" s="7" t="s">
        <v>98</v>
      </c>
      <c r="H222" s="7">
        <v>300910002</v>
      </c>
      <c r="I222" s="7" t="s">
        <v>99</v>
      </c>
      <c r="J222" s="9">
        <v>0</v>
      </c>
      <c r="K222" s="10">
        <v>274</v>
      </c>
      <c r="L222" s="11" t="s">
        <v>33</v>
      </c>
      <c r="M222" s="8">
        <v>0</v>
      </c>
      <c r="N222" s="8">
        <v>0</v>
      </c>
      <c r="O222" s="8">
        <v>0</v>
      </c>
      <c r="P222" s="12">
        <v>0</v>
      </c>
      <c r="Q222" s="13">
        <v>0</v>
      </c>
      <c r="R222" s="10">
        <v>0</v>
      </c>
      <c r="S222" s="10">
        <v>0</v>
      </c>
      <c r="T222" s="10">
        <v>0</v>
      </c>
      <c r="U222">
        <f t="shared" si="3"/>
        <v>295</v>
      </c>
    </row>
    <row r="223" spans="1:21" x14ac:dyDescent="0.25">
      <c r="A223" s="21">
        <v>950000155</v>
      </c>
      <c r="B223" s="7" t="s">
        <v>349</v>
      </c>
      <c r="C223" s="8" t="s">
        <v>21</v>
      </c>
      <c r="D223" s="7" t="s">
        <v>22</v>
      </c>
      <c r="E223" s="7" t="s">
        <v>82</v>
      </c>
      <c r="F223" s="7">
        <v>210032</v>
      </c>
      <c r="G223" s="7" t="s">
        <v>348</v>
      </c>
      <c r="H223" s="7">
        <v>400000122</v>
      </c>
      <c r="I223" s="7" t="s">
        <v>25</v>
      </c>
      <c r="J223" s="9">
        <v>103400</v>
      </c>
      <c r="K223" s="10">
        <v>170</v>
      </c>
      <c r="L223" s="11" t="s">
        <v>26</v>
      </c>
      <c r="M223" s="8">
        <v>74</v>
      </c>
      <c r="N223" s="8">
        <v>95</v>
      </c>
      <c r="O223" s="8">
        <v>169</v>
      </c>
      <c r="P223" s="12">
        <v>0.46</v>
      </c>
      <c r="Q223" s="13">
        <v>101400</v>
      </c>
      <c r="R223" s="10">
        <v>13</v>
      </c>
      <c r="S223" s="10">
        <v>13</v>
      </c>
      <c r="T223" s="10">
        <v>0</v>
      </c>
      <c r="U223">
        <f t="shared" si="3"/>
        <v>81</v>
      </c>
    </row>
    <row r="224" spans="1:21" x14ac:dyDescent="0.25">
      <c r="A224" s="21">
        <v>950000156</v>
      </c>
      <c r="B224" s="7" t="s">
        <v>350</v>
      </c>
      <c r="C224" s="8" t="s">
        <v>21</v>
      </c>
      <c r="D224" s="7" t="s">
        <v>22</v>
      </c>
      <c r="E224" s="7" t="s">
        <v>82</v>
      </c>
      <c r="F224" s="7">
        <v>270030</v>
      </c>
      <c r="G224" s="7" t="s">
        <v>296</v>
      </c>
      <c r="H224" s="7">
        <v>400000122</v>
      </c>
      <c r="I224" s="7" t="s">
        <v>25</v>
      </c>
      <c r="J224" s="9">
        <v>160800</v>
      </c>
      <c r="K224" s="10">
        <v>83</v>
      </c>
      <c r="L224" s="11" t="s">
        <v>26</v>
      </c>
      <c r="M224" s="8">
        <v>49</v>
      </c>
      <c r="N224" s="8">
        <v>44</v>
      </c>
      <c r="O224" s="8">
        <v>93</v>
      </c>
      <c r="P224" s="12">
        <v>0.45</v>
      </c>
      <c r="Q224" s="13">
        <v>55800</v>
      </c>
      <c r="R224" s="10">
        <v>11</v>
      </c>
      <c r="S224" s="10">
        <v>8</v>
      </c>
      <c r="T224" s="10">
        <v>3</v>
      </c>
      <c r="U224">
        <f t="shared" si="3"/>
        <v>101</v>
      </c>
    </row>
    <row r="225" spans="1:21" x14ac:dyDescent="0.25">
      <c r="A225" s="21">
        <v>950000157</v>
      </c>
      <c r="B225" s="7" t="s">
        <v>351</v>
      </c>
      <c r="C225" s="8" t="s">
        <v>21</v>
      </c>
      <c r="D225" s="7" t="s">
        <v>22</v>
      </c>
      <c r="E225" s="7" t="s">
        <v>82</v>
      </c>
      <c r="F225" s="7">
        <v>270030</v>
      </c>
      <c r="G225" s="7" t="s">
        <v>296</v>
      </c>
      <c r="H225" s="7">
        <v>400000122</v>
      </c>
      <c r="I225" s="7" t="s">
        <v>25</v>
      </c>
      <c r="J225" s="9">
        <v>339200</v>
      </c>
      <c r="K225" s="10">
        <v>13</v>
      </c>
      <c r="L225" s="11" t="s">
        <v>26</v>
      </c>
      <c r="M225" s="8">
        <v>101</v>
      </c>
      <c r="N225" s="8">
        <v>56</v>
      </c>
      <c r="O225" s="8">
        <v>157</v>
      </c>
      <c r="P225" s="12">
        <v>0.41</v>
      </c>
      <c r="Q225" s="13">
        <v>94200</v>
      </c>
      <c r="R225" s="10">
        <v>15</v>
      </c>
      <c r="S225" s="10">
        <v>8</v>
      </c>
      <c r="T225" s="10">
        <v>7</v>
      </c>
      <c r="U225">
        <f t="shared" si="3"/>
        <v>39</v>
      </c>
    </row>
    <row r="226" spans="1:21" x14ac:dyDescent="0.25">
      <c r="A226" s="21">
        <v>950000158</v>
      </c>
      <c r="B226" s="7" t="s">
        <v>352</v>
      </c>
      <c r="C226" s="8" t="s">
        <v>21</v>
      </c>
      <c r="D226" s="7" t="s">
        <v>22</v>
      </c>
      <c r="E226" s="7" t="s">
        <v>82</v>
      </c>
      <c r="F226" s="7">
        <v>950000140</v>
      </c>
      <c r="G226" s="7" t="s">
        <v>353</v>
      </c>
      <c r="H226" s="7">
        <v>400000122</v>
      </c>
      <c r="I226" s="7" t="s">
        <v>25</v>
      </c>
      <c r="J226" s="9">
        <v>156000</v>
      </c>
      <c r="K226" s="10">
        <v>91</v>
      </c>
      <c r="L226" s="11" t="s">
        <v>26</v>
      </c>
      <c r="M226" s="8">
        <v>84</v>
      </c>
      <c r="N226" s="8">
        <v>21</v>
      </c>
      <c r="O226" s="8">
        <v>105</v>
      </c>
      <c r="P226" s="12">
        <v>0.74</v>
      </c>
      <c r="Q226" s="13">
        <v>126000</v>
      </c>
      <c r="R226" s="10">
        <v>14</v>
      </c>
      <c r="S226" s="10">
        <v>12</v>
      </c>
      <c r="T226" s="10">
        <v>2</v>
      </c>
      <c r="U226">
        <f t="shared" si="3"/>
        <v>49</v>
      </c>
    </row>
    <row r="227" spans="1:21" x14ac:dyDescent="0.25">
      <c r="A227" s="21">
        <v>950000159</v>
      </c>
      <c r="B227" s="7" t="s">
        <v>354</v>
      </c>
      <c r="C227" s="8" t="s">
        <v>21</v>
      </c>
      <c r="D227" s="7" t="s">
        <v>22</v>
      </c>
      <c r="E227" s="7" t="s">
        <v>23</v>
      </c>
      <c r="F227" s="7">
        <v>110001</v>
      </c>
      <c r="G227" s="7" t="s">
        <v>24</v>
      </c>
      <c r="H227" s="7">
        <v>400000122</v>
      </c>
      <c r="I227" s="7" t="s">
        <v>25</v>
      </c>
      <c r="J227" s="9">
        <v>123200</v>
      </c>
      <c r="K227" s="10">
        <v>138</v>
      </c>
      <c r="L227" s="11" t="s">
        <v>26</v>
      </c>
      <c r="M227" s="8">
        <v>56</v>
      </c>
      <c r="N227" s="8">
        <v>18</v>
      </c>
      <c r="O227" s="8">
        <v>74</v>
      </c>
      <c r="P227" s="12">
        <v>0.59</v>
      </c>
      <c r="Q227" s="13">
        <v>59200</v>
      </c>
      <c r="R227" s="10">
        <v>9</v>
      </c>
      <c r="S227" s="10">
        <v>5</v>
      </c>
      <c r="T227" s="10">
        <v>4</v>
      </c>
      <c r="U227">
        <f t="shared" si="3"/>
        <v>138</v>
      </c>
    </row>
    <row r="228" spans="1:21" x14ac:dyDescent="0.25">
      <c r="A228" s="21">
        <v>950000160</v>
      </c>
      <c r="B228" s="7" t="s">
        <v>355</v>
      </c>
      <c r="C228" s="8" t="s">
        <v>21</v>
      </c>
      <c r="D228" s="7" t="s">
        <v>22</v>
      </c>
      <c r="E228" s="7" t="s">
        <v>82</v>
      </c>
      <c r="F228" s="7">
        <v>950000140</v>
      </c>
      <c r="G228" s="7" t="s">
        <v>353</v>
      </c>
      <c r="H228" s="7">
        <v>400000122</v>
      </c>
      <c r="I228" s="7" t="s">
        <v>25</v>
      </c>
      <c r="J228" s="9">
        <v>259000</v>
      </c>
      <c r="K228" s="10">
        <v>31</v>
      </c>
      <c r="L228" s="11" t="s">
        <v>26</v>
      </c>
      <c r="M228" s="8">
        <v>105</v>
      </c>
      <c r="N228" s="8">
        <v>50</v>
      </c>
      <c r="O228" s="8">
        <v>155</v>
      </c>
      <c r="P228" s="12">
        <v>0.56000000000000005</v>
      </c>
      <c r="Q228" s="13">
        <v>124000</v>
      </c>
      <c r="R228" s="10">
        <v>15</v>
      </c>
      <c r="S228" s="10">
        <v>6</v>
      </c>
      <c r="T228" s="10">
        <v>9</v>
      </c>
      <c r="U228">
        <f t="shared" si="3"/>
        <v>43</v>
      </c>
    </row>
    <row r="229" spans="1:21" x14ac:dyDescent="0.25">
      <c r="A229" s="21">
        <v>950000162</v>
      </c>
      <c r="B229" s="7" t="s">
        <v>356</v>
      </c>
      <c r="C229" s="8" t="s">
        <v>21</v>
      </c>
      <c r="D229" s="7" t="s">
        <v>22</v>
      </c>
      <c r="E229" s="7" t="s">
        <v>82</v>
      </c>
      <c r="F229" s="7">
        <v>150012</v>
      </c>
      <c r="G229" s="7" t="s">
        <v>341</v>
      </c>
      <c r="H229" s="7">
        <v>400000122</v>
      </c>
      <c r="I229" s="7" t="s">
        <v>25</v>
      </c>
      <c r="J229" s="9">
        <v>137400</v>
      </c>
      <c r="K229" s="10">
        <v>117</v>
      </c>
      <c r="L229" s="11" t="s">
        <v>26</v>
      </c>
      <c r="M229" s="8">
        <v>62</v>
      </c>
      <c r="N229" s="8">
        <v>47</v>
      </c>
      <c r="O229" s="8">
        <v>109</v>
      </c>
      <c r="P229" s="12">
        <v>0.41</v>
      </c>
      <c r="Q229" s="13">
        <v>65400</v>
      </c>
      <c r="R229" s="10">
        <v>12</v>
      </c>
      <c r="S229" s="10">
        <v>10</v>
      </c>
      <c r="T229" s="10">
        <v>2</v>
      </c>
      <c r="U229">
        <f t="shared" si="3"/>
        <v>84</v>
      </c>
    </row>
    <row r="230" spans="1:21" x14ac:dyDescent="0.25">
      <c r="A230" s="21">
        <v>950000163</v>
      </c>
      <c r="B230" s="7" t="s">
        <v>357</v>
      </c>
      <c r="C230" s="8" t="s">
        <v>21</v>
      </c>
      <c r="D230" s="7" t="s">
        <v>22</v>
      </c>
      <c r="E230" s="7" t="s">
        <v>82</v>
      </c>
      <c r="F230" s="7">
        <v>150012</v>
      </c>
      <c r="G230" s="7" t="s">
        <v>341</v>
      </c>
      <c r="H230" s="7">
        <v>400000122</v>
      </c>
      <c r="I230" s="7" t="s">
        <v>25</v>
      </c>
      <c r="J230" s="9">
        <v>105000</v>
      </c>
      <c r="K230" s="10">
        <v>165</v>
      </c>
      <c r="L230" s="11" t="s">
        <v>26</v>
      </c>
      <c r="M230" s="8">
        <v>66</v>
      </c>
      <c r="N230" s="8">
        <v>44</v>
      </c>
      <c r="O230" s="8">
        <v>110</v>
      </c>
      <c r="P230" s="12">
        <v>0.37</v>
      </c>
      <c r="Q230" s="13">
        <v>0</v>
      </c>
      <c r="R230" s="10">
        <v>12</v>
      </c>
      <c r="S230" s="10">
        <v>9</v>
      </c>
      <c r="T230" s="10">
        <v>3</v>
      </c>
      <c r="U230">
        <f t="shared" si="3"/>
        <v>85</v>
      </c>
    </row>
    <row r="231" spans="1:21" x14ac:dyDescent="0.25">
      <c r="A231" s="21">
        <v>950000165</v>
      </c>
      <c r="B231" s="7" t="s">
        <v>358</v>
      </c>
      <c r="C231" s="8" t="s">
        <v>21</v>
      </c>
      <c r="D231" s="7" t="s">
        <v>22</v>
      </c>
      <c r="E231" s="7" t="s">
        <v>23</v>
      </c>
      <c r="F231" s="7">
        <v>110001</v>
      </c>
      <c r="G231" s="7" t="s">
        <v>24</v>
      </c>
      <c r="H231" s="7">
        <v>400000122</v>
      </c>
      <c r="I231" s="7" t="s">
        <v>25</v>
      </c>
      <c r="J231" s="9">
        <v>140800</v>
      </c>
      <c r="K231" s="10">
        <v>110</v>
      </c>
      <c r="L231" s="11" t="s">
        <v>26</v>
      </c>
      <c r="M231" s="8">
        <v>75</v>
      </c>
      <c r="N231" s="8">
        <v>26</v>
      </c>
      <c r="O231" s="8">
        <v>101</v>
      </c>
      <c r="P231" s="12">
        <v>0.54</v>
      </c>
      <c r="Q231" s="13">
        <v>80800</v>
      </c>
      <c r="R231" s="10">
        <v>10</v>
      </c>
      <c r="S231" s="10">
        <v>6</v>
      </c>
      <c r="T231" s="10">
        <v>4</v>
      </c>
      <c r="U231">
        <f t="shared" si="3"/>
        <v>126</v>
      </c>
    </row>
    <row r="232" spans="1:21" x14ac:dyDescent="0.25">
      <c r="A232" s="21">
        <v>950000167</v>
      </c>
      <c r="B232" s="7" t="s">
        <v>427</v>
      </c>
      <c r="C232" s="8" t="s">
        <v>21</v>
      </c>
      <c r="D232" s="7" t="s">
        <v>22</v>
      </c>
      <c r="E232" s="7" t="s">
        <v>82</v>
      </c>
      <c r="F232" s="7">
        <v>950000140</v>
      </c>
      <c r="G232" s="7" t="s">
        <v>353</v>
      </c>
      <c r="H232" s="7">
        <v>400000122</v>
      </c>
      <c r="I232" s="7" t="s">
        <v>25</v>
      </c>
      <c r="J232" s="15">
        <v>0</v>
      </c>
      <c r="K232" s="10">
        <v>274</v>
      </c>
      <c r="L232" s="11" t="s">
        <v>33</v>
      </c>
      <c r="M232" s="8">
        <v>0</v>
      </c>
      <c r="N232" s="8">
        <v>0</v>
      </c>
      <c r="O232" s="8">
        <v>0</v>
      </c>
      <c r="P232" s="12">
        <v>0</v>
      </c>
      <c r="Q232" s="14">
        <v>0</v>
      </c>
      <c r="R232" s="10">
        <v>0</v>
      </c>
      <c r="S232" s="10">
        <v>0</v>
      </c>
      <c r="T232" s="10">
        <v>0</v>
      </c>
      <c r="U232">
        <f t="shared" si="3"/>
        <v>282</v>
      </c>
    </row>
    <row r="233" spans="1:21" x14ac:dyDescent="0.25">
      <c r="A233" s="21">
        <v>950000169</v>
      </c>
      <c r="B233" s="7" t="s">
        <v>428</v>
      </c>
      <c r="C233" s="8" t="s">
        <v>21</v>
      </c>
      <c r="D233" s="7" t="s">
        <v>22</v>
      </c>
      <c r="E233" s="7" t="s">
        <v>82</v>
      </c>
      <c r="F233" s="7">
        <v>950000140</v>
      </c>
      <c r="G233" s="7" t="s">
        <v>353</v>
      </c>
      <c r="H233" s="7">
        <v>400000122</v>
      </c>
      <c r="I233" s="7" t="s">
        <v>25</v>
      </c>
      <c r="J233" s="9">
        <v>0</v>
      </c>
      <c r="K233" s="10">
        <v>274</v>
      </c>
      <c r="L233" s="11" t="s">
        <v>33</v>
      </c>
      <c r="M233" s="8">
        <v>0</v>
      </c>
      <c r="N233" s="8">
        <v>0</v>
      </c>
      <c r="O233" s="8">
        <v>0</v>
      </c>
      <c r="P233" s="12">
        <v>0</v>
      </c>
      <c r="Q233" s="13">
        <v>0</v>
      </c>
      <c r="R233" s="10">
        <v>0</v>
      </c>
      <c r="S233" s="10">
        <v>0</v>
      </c>
      <c r="T233" s="10">
        <v>0</v>
      </c>
      <c r="U233">
        <f t="shared" si="3"/>
        <v>290</v>
      </c>
    </row>
    <row r="234" spans="1:21" x14ac:dyDescent="0.25">
      <c r="A234" s="21">
        <v>950000170</v>
      </c>
      <c r="B234" s="7" t="s">
        <v>429</v>
      </c>
      <c r="C234" s="8" t="s">
        <v>21</v>
      </c>
      <c r="D234" s="7" t="s">
        <v>22</v>
      </c>
      <c r="E234" s="7" t="s">
        <v>82</v>
      </c>
      <c r="F234" s="7">
        <v>210032</v>
      </c>
      <c r="G234" s="7" t="s">
        <v>348</v>
      </c>
      <c r="H234" s="7">
        <v>400000122</v>
      </c>
      <c r="I234" s="7" t="s">
        <v>25</v>
      </c>
      <c r="J234" s="9">
        <v>0</v>
      </c>
      <c r="K234" s="10">
        <v>274</v>
      </c>
      <c r="L234" s="11" t="s">
        <v>33</v>
      </c>
      <c r="M234" s="8">
        <v>0</v>
      </c>
      <c r="N234" s="8">
        <v>0</v>
      </c>
      <c r="O234" s="8">
        <v>0</v>
      </c>
      <c r="P234" s="12">
        <v>0</v>
      </c>
      <c r="Q234" s="13">
        <v>0</v>
      </c>
      <c r="R234" s="10">
        <v>0</v>
      </c>
      <c r="S234" s="10">
        <v>0</v>
      </c>
      <c r="T234" s="10">
        <v>0</v>
      </c>
      <c r="U234">
        <f t="shared" si="3"/>
        <v>305</v>
      </c>
    </row>
    <row r="235" spans="1:21" x14ac:dyDescent="0.25">
      <c r="A235" s="21">
        <v>950000171</v>
      </c>
      <c r="B235" s="7" t="s">
        <v>430</v>
      </c>
      <c r="C235" s="8" t="s">
        <v>21</v>
      </c>
      <c r="D235" s="7" t="s">
        <v>22</v>
      </c>
      <c r="E235" s="7" t="s">
        <v>82</v>
      </c>
      <c r="F235" s="7">
        <v>210032</v>
      </c>
      <c r="G235" s="7" t="s">
        <v>348</v>
      </c>
      <c r="H235" s="7">
        <v>400000122</v>
      </c>
      <c r="I235" s="7" t="s">
        <v>25</v>
      </c>
      <c r="J235" s="9">
        <v>0</v>
      </c>
      <c r="K235" s="10">
        <v>274</v>
      </c>
      <c r="L235" s="11" t="s">
        <v>33</v>
      </c>
      <c r="M235" s="8">
        <v>0</v>
      </c>
      <c r="N235" s="8">
        <v>0</v>
      </c>
      <c r="O235" s="8">
        <v>0</v>
      </c>
      <c r="P235" s="12">
        <v>0</v>
      </c>
      <c r="Q235" s="13">
        <v>0</v>
      </c>
      <c r="R235" s="10">
        <v>0</v>
      </c>
      <c r="S235" s="10">
        <v>0</v>
      </c>
      <c r="T235" s="10">
        <v>0</v>
      </c>
      <c r="U235">
        <f t="shared" si="3"/>
        <v>291</v>
      </c>
    </row>
    <row r="236" spans="1:21" x14ac:dyDescent="0.25">
      <c r="A236" s="21">
        <v>950000172</v>
      </c>
      <c r="B236" s="7" t="s">
        <v>431</v>
      </c>
      <c r="C236" s="8" t="s">
        <v>21</v>
      </c>
      <c r="D236" s="7" t="s">
        <v>22</v>
      </c>
      <c r="E236" s="7" t="s">
        <v>82</v>
      </c>
      <c r="F236" s="7">
        <v>210032</v>
      </c>
      <c r="G236" s="7" t="s">
        <v>348</v>
      </c>
      <c r="H236" s="7">
        <v>400000122</v>
      </c>
      <c r="I236" s="7" t="s">
        <v>25</v>
      </c>
      <c r="J236" s="9">
        <v>0</v>
      </c>
      <c r="K236" s="10">
        <v>274</v>
      </c>
      <c r="L236" s="11" t="s">
        <v>33</v>
      </c>
      <c r="M236" s="8">
        <v>0</v>
      </c>
      <c r="N236" s="8">
        <v>0</v>
      </c>
      <c r="O236" s="8">
        <v>0</v>
      </c>
      <c r="P236" s="12">
        <v>0</v>
      </c>
      <c r="Q236" s="13">
        <v>0</v>
      </c>
      <c r="R236" s="10">
        <v>0</v>
      </c>
      <c r="S236" s="10">
        <v>0</v>
      </c>
      <c r="T236" s="10">
        <v>0</v>
      </c>
      <c r="U236">
        <f t="shared" si="3"/>
        <v>277</v>
      </c>
    </row>
    <row r="237" spans="1:21" x14ac:dyDescent="0.25">
      <c r="A237" s="21">
        <v>950000173</v>
      </c>
      <c r="B237" s="7" t="s">
        <v>432</v>
      </c>
      <c r="C237" s="8" t="s">
        <v>21</v>
      </c>
      <c r="D237" s="7" t="s">
        <v>22</v>
      </c>
      <c r="E237" s="7" t="s">
        <v>82</v>
      </c>
      <c r="F237" s="7">
        <v>210032</v>
      </c>
      <c r="G237" s="7" t="s">
        <v>348</v>
      </c>
      <c r="H237" s="7">
        <v>400000122</v>
      </c>
      <c r="I237" s="7" t="s">
        <v>25</v>
      </c>
      <c r="J237" s="9">
        <v>0</v>
      </c>
      <c r="K237" s="10">
        <v>274</v>
      </c>
      <c r="L237" s="11" t="s">
        <v>33</v>
      </c>
      <c r="M237" s="8">
        <v>0</v>
      </c>
      <c r="N237" s="8">
        <v>0</v>
      </c>
      <c r="O237" s="8">
        <v>0</v>
      </c>
      <c r="P237" s="12">
        <v>0</v>
      </c>
      <c r="Q237" s="13">
        <v>0</v>
      </c>
      <c r="R237" s="10">
        <v>0</v>
      </c>
      <c r="S237" s="10">
        <v>0</v>
      </c>
      <c r="T237" s="10">
        <v>0</v>
      </c>
      <c r="U237">
        <f t="shared" si="3"/>
        <v>298</v>
      </c>
    </row>
    <row r="238" spans="1:21" x14ac:dyDescent="0.25">
      <c r="A238" s="21">
        <v>950000174</v>
      </c>
      <c r="B238" s="7" t="s">
        <v>433</v>
      </c>
      <c r="C238" s="8" t="s">
        <v>21</v>
      </c>
      <c r="D238" s="7" t="s">
        <v>22</v>
      </c>
      <c r="E238" s="7" t="s">
        <v>82</v>
      </c>
      <c r="F238" s="7">
        <v>150012</v>
      </c>
      <c r="G238" s="7" t="s">
        <v>341</v>
      </c>
      <c r="H238" s="7">
        <v>400000122</v>
      </c>
      <c r="I238" s="7" t="s">
        <v>25</v>
      </c>
      <c r="J238" s="15">
        <v>0</v>
      </c>
      <c r="K238" s="10">
        <v>274</v>
      </c>
      <c r="L238" s="11" t="s">
        <v>33</v>
      </c>
      <c r="M238" s="8">
        <v>0</v>
      </c>
      <c r="N238" s="8">
        <v>0</v>
      </c>
      <c r="O238" s="8">
        <v>0</v>
      </c>
      <c r="P238" s="12">
        <v>0</v>
      </c>
      <c r="Q238" s="14">
        <v>0</v>
      </c>
      <c r="R238" s="10">
        <v>0</v>
      </c>
      <c r="S238" s="10">
        <v>0</v>
      </c>
      <c r="T238" s="10">
        <v>0</v>
      </c>
      <c r="U238">
        <f t="shared" si="3"/>
        <v>283</v>
      </c>
    </row>
    <row r="239" spans="1:21" x14ac:dyDescent="0.25">
      <c r="A239" s="21">
        <v>950000175</v>
      </c>
      <c r="B239" s="7" t="s">
        <v>434</v>
      </c>
      <c r="C239" s="8" t="s">
        <v>21</v>
      </c>
      <c r="D239" s="7" t="s">
        <v>22</v>
      </c>
      <c r="E239" s="7" t="s">
        <v>82</v>
      </c>
      <c r="F239" s="7">
        <v>150012</v>
      </c>
      <c r="G239" s="7" t="s">
        <v>341</v>
      </c>
      <c r="H239" s="7">
        <v>400000122</v>
      </c>
      <c r="I239" s="7" t="s">
        <v>25</v>
      </c>
      <c r="J239" s="9">
        <v>0</v>
      </c>
      <c r="K239" s="10">
        <v>274</v>
      </c>
      <c r="L239" s="11" t="s">
        <v>33</v>
      </c>
      <c r="M239" s="8">
        <v>0</v>
      </c>
      <c r="N239" s="8">
        <v>0</v>
      </c>
      <c r="O239" s="8">
        <v>0</v>
      </c>
      <c r="P239" s="12">
        <v>0</v>
      </c>
      <c r="Q239" s="13">
        <v>0</v>
      </c>
      <c r="R239" s="10">
        <v>0</v>
      </c>
      <c r="S239" s="10">
        <v>0</v>
      </c>
      <c r="T239" s="10">
        <v>0</v>
      </c>
      <c r="U239">
        <f t="shared" si="3"/>
        <v>303</v>
      </c>
    </row>
    <row r="240" spans="1:21" x14ac:dyDescent="0.25">
      <c r="A240" s="21">
        <v>950000176</v>
      </c>
      <c r="B240" s="7" t="s">
        <v>435</v>
      </c>
      <c r="C240" s="8" t="s">
        <v>21</v>
      </c>
      <c r="D240" s="7" t="s">
        <v>22</v>
      </c>
      <c r="E240" s="7" t="s">
        <v>82</v>
      </c>
      <c r="F240" s="7">
        <v>150012</v>
      </c>
      <c r="G240" s="7" t="s">
        <v>341</v>
      </c>
      <c r="H240" s="7">
        <v>400000122</v>
      </c>
      <c r="I240" s="7" t="s">
        <v>25</v>
      </c>
      <c r="J240" s="9">
        <v>0</v>
      </c>
      <c r="K240" s="10">
        <v>274</v>
      </c>
      <c r="L240" s="11" t="s">
        <v>33</v>
      </c>
      <c r="M240" s="8">
        <v>0</v>
      </c>
      <c r="N240" s="8">
        <v>0</v>
      </c>
      <c r="O240" s="8">
        <v>0</v>
      </c>
      <c r="P240" s="12">
        <v>0</v>
      </c>
      <c r="Q240" s="13">
        <v>0</v>
      </c>
      <c r="R240" s="10">
        <v>0</v>
      </c>
      <c r="S240" s="10">
        <v>0</v>
      </c>
      <c r="T240" s="10">
        <v>0</v>
      </c>
      <c r="U240">
        <f t="shared" si="3"/>
        <v>280</v>
      </c>
    </row>
    <row r="241" spans="1:21" x14ac:dyDescent="0.25">
      <c r="A241" s="21">
        <v>950000177</v>
      </c>
      <c r="B241" s="7" t="s">
        <v>436</v>
      </c>
      <c r="C241" s="8" t="s">
        <v>21</v>
      </c>
      <c r="D241" s="7" t="s">
        <v>22</v>
      </c>
      <c r="E241" s="7" t="s">
        <v>82</v>
      </c>
      <c r="F241" s="7">
        <v>270030</v>
      </c>
      <c r="G241" s="7" t="s">
        <v>296</v>
      </c>
      <c r="H241" s="7">
        <v>400000122</v>
      </c>
      <c r="I241" s="7" t="s">
        <v>25</v>
      </c>
      <c r="J241" s="9">
        <v>0</v>
      </c>
      <c r="K241" s="10">
        <v>274</v>
      </c>
      <c r="L241" s="11" t="s">
        <v>33</v>
      </c>
      <c r="M241" s="8">
        <v>0</v>
      </c>
      <c r="N241" s="8">
        <v>0</v>
      </c>
      <c r="O241" s="8">
        <v>0</v>
      </c>
      <c r="P241" s="12">
        <v>0</v>
      </c>
      <c r="Q241" s="13">
        <v>0</v>
      </c>
      <c r="R241" s="10">
        <v>0</v>
      </c>
      <c r="S241" s="10">
        <v>0</v>
      </c>
      <c r="T241" s="10">
        <v>0</v>
      </c>
      <c r="U241">
        <f t="shared" si="3"/>
        <v>299</v>
      </c>
    </row>
    <row r="242" spans="1:21" x14ac:dyDescent="0.25">
      <c r="A242" s="21">
        <v>950000178</v>
      </c>
      <c r="B242" s="7" t="s">
        <v>437</v>
      </c>
      <c r="C242" s="8" t="s">
        <v>21</v>
      </c>
      <c r="D242" s="7" t="s">
        <v>22</v>
      </c>
      <c r="E242" s="7" t="s">
        <v>82</v>
      </c>
      <c r="F242" s="7">
        <v>270030</v>
      </c>
      <c r="G242" s="7" t="s">
        <v>296</v>
      </c>
      <c r="H242" s="7">
        <v>400000122</v>
      </c>
      <c r="I242" s="7" t="s">
        <v>25</v>
      </c>
      <c r="J242" s="9">
        <v>0</v>
      </c>
      <c r="K242" s="10">
        <v>274</v>
      </c>
      <c r="L242" s="11" t="s">
        <v>33</v>
      </c>
      <c r="M242" s="8">
        <v>0</v>
      </c>
      <c r="N242" s="8">
        <v>0</v>
      </c>
      <c r="O242" s="8">
        <v>0</v>
      </c>
      <c r="P242" s="12">
        <v>0</v>
      </c>
      <c r="Q242" s="13">
        <v>0</v>
      </c>
      <c r="R242" s="10">
        <v>0</v>
      </c>
      <c r="S242" s="10">
        <v>0</v>
      </c>
      <c r="T242" s="10">
        <v>0</v>
      </c>
      <c r="U242">
        <f t="shared" si="3"/>
        <v>285</v>
      </c>
    </row>
    <row r="243" spans="1:21" x14ac:dyDescent="0.25">
      <c r="A243" s="21">
        <v>950000179</v>
      </c>
      <c r="B243" s="7" t="s">
        <v>438</v>
      </c>
      <c r="C243" s="8" t="s">
        <v>21</v>
      </c>
      <c r="D243" s="7" t="s">
        <v>22</v>
      </c>
      <c r="E243" s="7" t="s">
        <v>82</v>
      </c>
      <c r="F243" s="7">
        <v>270030</v>
      </c>
      <c r="G243" s="7" t="s">
        <v>296</v>
      </c>
      <c r="H243" s="7">
        <v>400000122</v>
      </c>
      <c r="I243" s="7" t="s">
        <v>25</v>
      </c>
      <c r="J243" s="9">
        <v>0</v>
      </c>
      <c r="K243" s="10">
        <v>274</v>
      </c>
      <c r="L243" s="11" t="s">
        <v>33</v>
      </c>
      <c r="M243" s="8">
        <v>0</v>
      </c>
      <c r="N243" s="8">
        <v>0</v>
      </c>
      <c r="O243" s="8">
        <v>0</v>
      </c>
      <c r="P243" s="12">
        <v>0</v>
      </c>
      <c r="Q243" s="13">
        <v>0</v>
      </c>
      <c r="R243" s="10">
        <v>0</v>
      </c>
      <c r="S243" s="10">
        <v>0</v>
      </c>
      <c r="T243" s="10">
        <v>0</v>
      </c>
      <c r="U243">
        <f t="shared" si="3"/>
        <v>287</v>
      </c>
    </row>
    <row r="244" spans="1:21" x14ac:dyDescent="0.25">
      <c r="A244" s="21">
        <v>950000180</v>
      </c>
      <c r="B244" s="7" t="s">
        <v>439</v>
      </c>
      <c r="C244" s="8" t="s">
        <v>21</v>
      </c>
      <c r="D244" s="7" t="s">
        <v>22</v>
      </c>
      <c r="E244" s="7" t="s">
        <v>82</v>
      </c>
      <c r="F244" s="7">
        <v>270030</v>
      </c>
      <c r="G244" s="7" t="s">
        <v>296</v>
      </c>
      <c r="H244" s="7">
        <v>400000122</v>
      </c>
      <c r="I244" s="7" t="s">
        <v>25</v>
      </c>
      <c r="J244" s="9">
        <v>33800</v>
      </c>
      <c r="K244" s="10">
        <v>242</v>
      </c>
      <c r="L244" s="11" t="s">
        <v>33</v>
      </c>
      <c r="M244" s="8">
        <v>31</v>
      </c>
      <c r="N244" s="8">
        <v>22</v>
      </c>
      <c r="O244" s="8">
        <v>53</v>
      </c>
      <c r="P244" s="12">
        <v>0.42</v>
      </c>
      <c r="Q244" s="13">
        <v>31800</v>
      </c>
      <c r="R244" s="10">
        <v>2</v>
      </c>
      <c r="S244" s="10">
        <v>4</v>
      </c>
      <c r="T244" s="10">
        <v>0</v>
      </c>
      <c r="U244">
        <f t="shared" si="3"/>
        <v>257</v>
      </c>
    </row>
    <row r="245" spans="1:21" x14ac:dyDescent="0.25">
      <c r="A245" s="21">
        <v>950000181</v>
      </c>
      <c r="B245" s="7" t="s">
        <v>440</v>
      </c>
      <c r="C245" s="8" t="s">
        <v>21</v>
      </c>
      <c r="D245" s="7" t="s">
        <v>22</v>
      </c>
      <c r="E245" s="7" t="s">
        <v>82</v>
      </c>
      <c r="F245" s="7">
        <v>210032</v>
      </c>
      <c r="G245" s="7" t="s">
        <v>348</v>
      </c>
      <c r="H245" s="7">
        <v>400000122</v>
      </c>
      <c r="I245" s="7" t="s">
        <v>25</v>
      </c>
      <c r="J245" s="9">
        <v>50200</v>
      </c>
      <c r="K245" s="10">
        <v>226</v>
      </c>
      <c r="L245" s="11" t="s">
        <v>33</v>
      </c>
      <c r="M245" s="8">
        <v>21</v>
      </c>
      <c r="N245" s="8">
        <v>46</v>
      </c>
      <c r="O245" s="8">
        <v>67</v>
      </c>
      <c r="P245" s="12">
        <v>0.4</v>
      </c>
      <c r="Q245" s="13">
        <v>40200</v>
      </c>
      <c r="R245" s="10">
        <v>4</v>
      </c>
      <c r="S245" s="10">
        <v>2</v>
      </c>
      <c r="T245" s="10">
        <v>2</v>
      </c>
      <c r="U245">
        <f t="shared" si="3"/>
        <v>225</v>
      </c>
    </row>
    <row r="246" spans="1:21" x14ac:dyDescent="0.25">
      <c r="A246" s="21">
        <v>950000200</v>
      </c>
      <c r="B246" s="7" t="s">
        <v>441</v>
      </c>
      <c r="C246" s="8" t="s">
        <v>21</v>
      </c>
      <c r="D246" s="7" t="s">
        <v>22</v>
      </c>
      <c r="E246" s="7" t="s">
        <v>23</v>
      </c>
      <c r="F246" s="7">
        <v>110001</v>
      </c>
      <c r="G246" s="7" t="s">
        <v>24</v>
      </c>
      <c r="H246" s="7">
        <v>400000122</v>
      </c>
      <c r="I246" s="7" t="s">
        <v>25</v>
      </c>
      <c r="J246" s="9">
        <v>0</v>
      </c>
      <c r="K246" s="10">
        <v>274</v>
      </c>
      <c r="L246" s="11" t="s">
        <v>33</v>
      </c>
      <c r="M246" s="8">
        <v>0</v>
      </c>
      <c r="N246" s="8">
        <v>0</v>
      </c>
      <c r="O246" s="8">
        <v>0</v>
      </c>
      <c r="P246" s="12">
        <v>0</v>
      </c>
      <c r="Q246" s="13">
        <v>0</v>
      </c>
      <c r="R246" s="10">
        <v>0</v>
      </c>
      <c r="S246" s="10">
        <v>0</v>
      </c>
      <c r="T246" s="10">
        <v>0</v>
      </c>
      <c r="U246">
        <f t="shared" si="3"/>
        <v>288</v>
      </c>
    </row>
    <row r="247" spans="1:21" x14ac:dyDescent="0.25">
      <c r="A247" s="21">
        <v>950000201</v>
      </c>
      <c r="B247" s="7" t="s">
        <v>442</v>
      </c>
      <c r="C247" s="8" t="s">
        <v>21</v>
      </c>
      <c r="D247" s="7" t="s">
        <v>22</v>
      </c>
      <c r="E247" s="7" t="s">
        <v>23</v>
      </c>
      <c r="F247" s="7">
        <v>110001</v>
      </c>
      <c r="G247" s="7" t="s">
        <v>24</v>
      </c>
      <c r="H247" s="7">
        <v>400000122</v>
      </c>
      <c r="I247" s="7" t="s">
        <v>25</v>
      </c>
      <c r="J247" s="9">
        <v>0</v>
      </c>
      <c r="K247" s="10">
        <v>274</v>
      </c>
      <c r="L247" s="11" t="s">
        <v>33</v>
      </c>
      <c r="M247" s="8">
        <v>0</v>
      </c>
      <c r="N247" s="8">
        <v>0</v>
      </c>
      <c r="O247" s="8">
        <v>0</v>
      </c>
      <c r="P247" s="12">
        <v>0</v>
      </c>
      <c r="Q247" s="13">
        <v>0</v>
      </c>
      <c r="R247" s="10">
        <v>0</v>
      </c>
      <c r="S247" s="10">
        <v>0</v>
      </c>
      <c r="T247" s="10">
        <v>0</v>
      </c>
      <c r="U247">
        <f t="shared" si="3"/>
        <v>297</v>
      </c>
    </row>
    <row r="248" spans="1:21" x14ac:dyDescent="0.25">
      <c r="A248" s="21">
        <v>950000221</v>
      </c>
      <c r="B248" s="7" t="s">
        <v>443</v>
      </c>
      <c r="C248" s="8" t="s">
        <v>21</v>
      </c>
      <c r="D248" s="7" t="s">
        <v>91</v>
      </c>
      <c r="E248" s="7" t="s">
        <v>92</v>
      </c>
      <c r="F248" s="7">
        <v>9200010001</v>
      </c>
      <c r="G248" s="7" t="s">
        <v>112</v>
      </c>
      <c r="H248" s="7">
        <v>410000011</v>
      </c>
      <c r="I248" s="7" t="s">
        <v>94</v>
      </c>
      <c r="J248" s="9">
        <v>0</v>
      </c>
      <c r="K248" s="10">
        <v>274</v>
      </c>
      <c r="L248" s="11" t="s">
        <v>33</v>
      </c>
      <c r="M248" s="8">
        <v>0</v>
      </c>
      <c r="N248" s="8">
        <v>0</v>
      </c>
      <c r="O248" s="8">
        <v>0</v>
      </c>
      <c r="P248" s="12">
        <v>0</v>
      </c>
      <c r="Q248" s="13">
        <v>0</v>
      </c>
      <c r="R248" s="10">
        <v>0</v>
      </c>
      <c r="S248" s="10">
        <v>0</v>
      </c>
      <c r="T248" s="10">
        <v>0</v>
      </c>
      <c r="U248">
        <f t="shared" si="3"/>
        <v>302</v>
      </c>
    </row>
    <row r="249" spans="1:21" x14ac:dyDescent="0.25">
      <c r="A249" s="21">
        <v>95000112</v>
      </c>
      <c r="B249" s="7" t="s">
        <v>359</v>
      </c>
      <c r="C249" s="8" t="s">
        <v>21</v>
      </c>
      <c r="D249" s="7" t="s">
        <v>22</v>
      </c>
      <c r="E249" s="7" t="s">
        <v>360</v>
      </c>
      <c r="F249" s="7">
        <v>300120004</v>
      </c>
      <c r="G249" s="7" t="s">
        <v>334</v>
      </c>
      <c r="H249" s="7">
        <v>400000122</v>
      </c>
      <c r="I249" s="7" t="s">
        <v>25</v>
      </c>
      <c r="J249" s="9">
        <v>142000</v>
      </c>
      <c r="K249" s="10">
        <v>105</v>
      </c>
      <c r="L249" s="11" t="s">
        <v>26</v>
      </c>
      <c r="M249" s="8">
        <v>57</v>
      </c>
      <c r="N249" s="8">
        <v>23</v>
      </c>
      <c r="O249" s="8">
        <v>80</v>
      </c>
      <c r="P249" s="12">
        <v>0.5</v>
      </c>
      <c r="Q249" s="13">
        <v>64000</v>
      </c>
      <c r="R249" s="10">
        <v>11</v>
      </c>
      <c r="S249" s="10">
        <v>9</v>
      </c>
      <c r="T249" s="10">
        <v>2</v>
      </c>
      <c r="U249">
        <f t="shared" si="3"/>
        <v>98</v>
      </c>
    </row>
    <row r="250" spans="1:21" x14ac:dyDescent="0.25">
      <c r="A250" s="21">
        <v>95000117</v>
      </c>
      <c r="B250" s="7" t="s">
        <v>361</v>
      </c>
      <c r="C250" s="8" t="s">
        <v>21</v>
      </c>
      <c r="D250" s="7" t="s">
        <v>22</v>
      </c>
      <c r="E250" s="7" t="s">
        <v>360</v>
      </c>
      <c r="F250" s="7">
        <v>300120004</v>
      </c>
      <c r="G250" s="7" t="s">
        <v>334</v>
      </c>
      <c r="H250" s="7">
        <v>400000122</v>
      </c>
      <c r="I250" s="7" t="s">
        <v>25</v>
      </c>
      <c r="J250" s="9">
        <v>83200</v>
      </c>
      <c r="K250" s="10">
        <v>190</v>
      </c>
      <c r="L250" s="11" t="s">
        <v>33</v>
      </c>
      <c r="M250" s="8">
        <v>82</v>
      </c>
      <c r="N250" s="8">
        <v>50</v>
      </c>
      <c r="O250" s="8">
        <v>132</v>
      </c>
      <c r="P250" s="12">
        <v>0.48</v>
      </c>
      <c r="Q250" s="13">
        <v>79200</v>
      </c>
      <c r="R250" s="10">
        <v>10</v>
      </c>
      <c r="S250" s="10">
        <v>17</v>
      </c>
      <c r="T250" s="10">
        <v>0</v>
      </c>
      <c r="U250">
        <f t="shared" si="3"/>
        <v>118</v>
      </c>
    </row>
    <row r="251" spans="1:21" x14ac:dyDescent="0.25">
      <c r="A251" s="21">
        <v>95000120</v>
      </c>
      <c r="B251" s="7" t="s">
        <v>362</v>
      </c>
      <c r="C251" s="8" t="s">
        <v>21</v>
      </c>
      <c r="D251" s="7" t="s">
        <v>45</v>
      </c>
      <c r="E251" s="7" t="s">
        <v>46</v>
      </c>
      <c r="F251" s="7">
        <v>210023</v>
      </c>
      <c r="G251" s="7" t="s">
        <v>47</v>
      </c>
      <c r="H251" s="7">
        <v>210001</v>
      </c>
      <c r="I251" s="7" t="s">
        <v>48</v>
      </c>
      <c r="J251" s="9">
        <v>109800</v>
      </c>
      <c r="K251" s="10">
        <v>159</v>
      </c>
      <c r="L251" s="11" t="s">
        <v>26</v>
      </c>
      <c r="M251" s="8">
        <v>28</v>
      </c>
      <c r="N251" s="8">
        <v>26</v>
      </c>
      <c r="O251" s="8">
        <v>54</v>
      </c>
      <c r="P251" s="12">
        <v>0.8</v>
      </c>
      <c r="Q251" s="13">
        <v>64800</v>
      </c>
      <c r="R251" s="10">
        <v>8</v>
      </c>
      <c r="S251" s="10">
        <v>5</v>
      </c>
      <c r="T251" s="10">
        <v>3</v>
      </c>
      <c r="U251">
        <f t="shared" si="3"/>
        <v>160</v>
      </c>
    </row>
    <row r="252" spans="1:21" x14ac:dyDescent="0.25">
      <c r="A252" s="21">
        <v>950001210</v>
      </c>
      <c r="B252" s="7" t="s">
        <v>444</v>
      </c>
      <c r="C252" s="8" t="s">
        <v>21</v>
      </c>
      <c r="D252" s="7" t="s">
        <v>22</v>
      </c>
      <c r="E252" s="7" t="s">
        <v>333</v>
      </c>
      <c r="F252" s="7">
        <v>95000116</v>
      </c>
      <c r="G252" s="7" t="s">
        <v>336</v>
      </c>
      <c r="H252" s="7">
        <v>400000122</v>
      </c>
      <c r="I252" s="7" t="s">
        <v>25</v>
      </c>
      <c r="J252" s="9">
        <v>0</v>
      </c>
      <c r="K252" s="10">
        <v>274</v>
      </c>
      <c r="L252" s="11" t="s">
        <v>33</v>
      </c>
      <c r="M252" s="8">
        <v>1</v>
      </c>
      <c r="N252" s="8">
        <v>0</v>
      </c>
      <c r="O252" s="8">
        <v>1</v>
      </c>
      <c r="P252" s="12">
        <v>0</v>
      </c>
      <c r="Q252" s="13">
        <v>0</v>
      </c>
      <c r="R252" s="10">
        <v>0</v>
      </c>
      <c r="S252" s="10">
        <v>0</v>
      </c>
      <c r="T252" s="10">
        <v>0</v>
      </c>
      <c r="U252">
        <f t="shared" si="3"/>
        <v>281</v>
      </c>
    </row>
    <row r="253" spans="1:21" x14ac:dyDescent="0.25">
      <c r="A253" s="21">
        <v>950001211</v>
      </c>
      <c r="B253" s="7" t="s">
        <v>445</v>
      </c>
      <c r="C253" s="8" t="s">
        <v>21</v>
      </c>
      <c r="D253" s="7" t="s">
        <v>22</v>
      </c>
      <c r="E253" s="7" t="s">
        <v>333</v>
      </c>
      <c r="F253" s="7">
        <v>300120004</v>
      </c>
      <c r="G253" s="7" t="s">
        <v>334</v>
      </c>
      <c r="H253" s="7">
        <v>400000122</v>
      </c>
      <c r="I253" s="7" t="s">
        <v>25</v>
      </c>
      <c r="J253" s="15">
        <v>0</v>
      </c>
      <c r="K253" s="10">
        <v>274</v>
      </c>
      <c r="L253" s="11" t="s">
        <v>33</v>
      </c>
      <c r="M253" s="8">
        <v>0</v>
      </c>
      <c r="N253" s="8">
        <v>0</v>
      </c>
      <c r="O253" s="8">
        <v>0</v>
      </c>
      <c r="P253" s="12">
        <v>0</v>
      </c>
      <c r="Q253" s="14">
        <v>0</v>
      </c>
      <c r="R253" s="10">
        <v>0</v>
      </c>
      <c r="S253" s="10">
        <v>0</v>
      </c>
      <c r="T253" s="10">
        <v>0</v>
      </c>
      <c r="U253">
        <f t="shared" si="3"/>
        <v>304</v>
      </c>
    </row>
    <row r="254" spans="1:21" x14ac:dyDescent="0.25">
      <c r="A254" s="21">
        <v>95000129</v>
      </c>
      <c r="B254" s="7" t="s">
        <v>363</v>
      </c>
      <c r="C254" s="8" t="s">
        <v>21</v>
      </c>
      <c r="D254" s="7" t="s">
        <v>45</v>
      </c>
      <c r="E254" s="7" t="s">
        <v>190</v>
      </c>
      <c r="F254" s="7">
        <v>95000130</v>
      </c>
      <c r="G254" s="7" t="s">
        <v>364</v>
      </c>
      <c r="H254" s="7">
        <v>210001</v>
      </c>
      <c r="I254" s="7" t="s">
        <v>48</v>
      </c>
      <c r="J254" s="9">
        <v>173000</v>
      </c>
      <c r="K254" s="10">
        <v>77</v>
      </c>
      <c r="L254" s="11" t="s">
        <v>26</v>
      </c>
      <c r="M254" s="8">
        <v>57</v>
      </c>
      <c r="N254" s="8">
        <v>44</v>
      </c>
      <c r="O254" s="8">
        <v>101</v>
      </c>
      <c r="P254" s="12">
        <v>0.65</v>
      </c>
      <c r="Q254" s="13">
        <v>101000</v>
      </c>
      <c r="R254" s="10">
        <v>11</v>
      </c>
      <c r="S254" s="10">
        <v>9</v>
      </c>
      <c r="T254" s="10">
        <v>2</v>
      </c>
      <c r="U254">
        <f t="shared" si="3"/>
        <v>103</v>
      </c>
    </row>
    <row r="255" spans="1:21" x14ac:dyDescent="0.25">
      <c r="A255" s="21">
        <v>950001310</v>
      </c>
      <c r="B255" s="7" t="s">
        <v>365</v>
      </c>
      <c r="C255" s="8" t="s">
        <v>21</v>
      </c>
      <c r="D255" s="7" t="s">
        <v>45</v>
      </c>
      <c r="E255" s="7" t="s">
        <v>190</v>
      </c>
      <c r="F255" s="7">
        <v>95200205</v>
      </c>
      <c r="G255" s="7" t="s">
        <v>191</v>
      </c>
      <c r="H255" s="7">
        <v>210001</v>
      </c>
      <c r="I255" s="7" t="s">
        <v>48</v>
      </c>
      <c r="J255" s="9">
        <v>0</v>
      </c>
      <c r="K255" s="10">
        <v>274</v>
      </c>
      <c r="L255" s="11" t="s">
        <v>33</v>
      </c>
      <c r="M255" s="8">
        <v>0</v>
      </c>
      <c r="N255" s="8">
        <v>0</v>
      </c>
      <c r="O255" s="8">
        <v>0</v>
      </c>
      <c r="P255" s="12">
        <v>0</v>
      </c>
      <c r="Q255" s="13">
        <v>0</v>
      </c>
      <c r="R255" s="10">
        <v>0</v>
      </c>
      <c r="S255" s="10">
        <v>0</v>
      </c>
      <c r="T255" s="10">
        <v>0</v>
      </c>
      <c r="U255">
        <f t="shared" si="3"/>
        <v>284</v>
      </c>
    </row>
    <row r="256" spans="1:21" x14ac:dyDescent="0.25">
      <c r="A256" s="21">
        <v>950001311</v>
      </c>
      <c r="B256" s="7" t="s">
        <v>446</v>
      </c>
      <c r="C256" s="8" t="s">
        <v>21</v>
      </c>
      <c r="D256" s="7" t="s">
        <v>45</v>
      </c>
      <c r="E256" s="7" t="s">
        <v>190</v>
      </c>
      <c r="F256" s="7">
        <v>95000130</v>
      </c>
      <c r="G256" s="7" t="s">
        <v>364</v>
      </c>
      <c r="H256" s="7">
        <v>210001</v>
      </c>
      <c r="I256" s="7" t="s">
        <v>48</v>
      </c>
      <c r="J256" s="9">
        <v>0</v>
      </c>
      <c r="K256" s="10">
        <v>274</v>
      </c>
      <c r="L256" s="11" t="s">
        <v>33</v>
      </c>
      <c r="M256" s="8">
        <v>0</v>
      </c>
      <c r="N256" s="8">
        <v>0</v>
      </c>
      <c r="O256" s="8">
        <v>0</v>
      </c>
      <c r="P256" s="12">
        <v>0</v>
      </c>
      <c r="Q256" s="13">
        <v>0</v>
      </c>
      <c r="R256" s="10">
        <v>0</v>
      </c>
      <c r="S256" s="10">
        <v>0</v>
      </c>
      <c r="T256" s="10">
        <v>0</v>
      </c>
      <c r="U256">
        <f t="shared" si="3"/>
        <v>292</v>
      </c>
    </row>
    <row r="257" spans="1:21" x14ac:dyDescent="0.25">
      <c r="A257" s="21">
        <v>95000135</v>
      </c>
      <c r="B257" s="7" t="s">
        <v>366</v>
      </c>
      <c r="C257" s="8" t="s">
        <v>21</v>
      </c>
      <c r="D257" s="7" t="s">
        <v>45</v>
      </c>
      <c r="E257" s="7" t="s">
        <v>190</v>
      </c>
      <c r="F257" s="7">
        <v>95200205</v>
      </c>
      <c r="G257" s="7" t="s">
        <v>191</v>
      </c>
      <c r="H257" s="7">
        <v>210001</v>
      </c>
      <c r="I257" s="7" t="s">
        <v>48</v>
      </c>
      <c r="J257" s="9">
        <v>83000</v>
      </c>
      <c r="K257" s="10">
        <v>191</v>
      </c>
      <c r="L257" s="11" t="s">
        <v>33</v>
      </c>
      <c r="M257" s="8">
        <v>46</v>
      </c>
      <c r="N257" s="8">
        <v>37</v>
      </c>
      <c r="O257" s="8">
        <v>83</v>
      </c>
      <c r="P257" s="12">
        <v>0.63</v>
      </c>
      <c r="Q257" s="13">
        <v>83000</v>
      </c>
      <c r="R257" s="10">
        <v>10</v>
      </c>
      <c r="S257" s="10">
        <v>13</v>
      </c>
      <c r="T257" s="10">
        <v>0</v>
      </c>
      <c r="U257">
        <f t="shared" si="3"/>
        <v>128</v>
      </c>
    </row>
    <row r="258" spans="1:21" x14ac:dyDescent="0.25">
      <c r="A258" s="21">
        <v>950001370</v>
      </c>
      <c r="B258" s="7" t="s">
        <v>367</v>
      </c>
      <c r="C258" s="8" t="s">
        <v>21</v>
      </c>
      <c r="D258" s="7" t="s">
        <v>45</v>
      </c>
      <c r="E258" s="7" t="s">
        <v>190</v>
      </c>
      <c r="F258" s="7">
        <v>95000130</v>
      </c>
      <c r="G258" s="7" t="s">
        <v>364</v>
      </c>
      <c r="H258" s="7">
        <v>210001</v>
      </c>
      <c r="I258" s="7" t="s">
        <v>48</v>
      </c>
      <c r="J258" s="9">
        <v>143000</v>
      </c>
      <c r="K258" s="10">
        <v>104</v>
      </c>
      <c r="L258" s="11" t="s">
        <v>26</v>
      </c>
      <c r="M258" s="8">
        <v>46</v>
      </c>
      <c r="N258" s="8">
        <v>27</v>
      </c>
      <c r="O258" s="8">
        <v>73</v>
      </c>
      <c r="P258" s="12">
        <v>0.63</v>
      </c>
      <c r="Q258" s="13">
        <v>73000</v>
      </c>
      <c r="R258" s="10">
        <v>10</v>
      </c>
      <c r="S258" s="10">
        <v>8</v>
      </c>
      <c r="T258" s="10">
        <v>2</v>
      </c>
      <c r="U258">
        <f t="shared" ref="U258:U309" si="4">_xlfn.RANK.EQ(R258,$R$2:$R$309,0)
 + COUNTIFS($R$2:$R$309,R258,$B$2:$B$309,"&lt;"&amp;B258)</f>
        <v>129</v>
      </c>
    </row>
    <row r="259" spans="1:21" x14ac:dyDescent="0.25">
      <c r="A259" s="21">
        <v>950001390</v>
      </c>
      <c r="B259" s="7" t="s">
        <v>368</v>
      </c>
      <c r="C259" s="8" t="s">
        <v>21</v>
      </c>
      <c r="D259" s="7" t="s">
        <v>45</v>
      </c>
      <c r="E259" s="7" t="s">
        <v>190</v>
      </c>
      <c r="F259" s="7">
        <v>95200205</v>
      </c>
      <c r="G259" s="7" t="s">
        <v>191</v>
      </c>
      <c r="H259" s="7">
        <v>210001</v>
      </c>
      <c r="I259" s="7" t="s">
        <v>48</v>
      </c>
      <c r="J259" s="9">
        <v>51000</v>
      </c>
      <c r="K259" s="10">
        <v>223</v>
      </c>
      <c r="L259" s="11" t="s">
        <v>33</v>
      </c>
      <c r="M259" s="8">
        <v>35</v>
      </c>
      <c r="N259" s="8">
        <v>16</v>
      </c>
      <c r="O259" s="8">
        <v>51</v>
      </c>
      <c r="P259" s="12">
        <v>0.69</v>
      </c>
      <c r="Q259" s="13">
        <v>51000</v>
      </c>
      <c r="R259" s="10">
        <v>7</v>
      </c>
      <c r="S259" s="10">
        <v>11</v>
      </c>
      <c r="T259" s="10">
        <v>0</v>
      </c>
      <c r="U259">
        <f t="shared" si="4"/>
        <v>173</v>
      </c>
    </row>
    <row r="260" spans="1:21" x14ac:dyDescent="0.25">
      <c r="A260" s="21">
        <v>95000150</v>
      </c>
      <c r="B260" s="7" t="s">
        <v>369</v>
      </c>
      <c r="C260" s="8" t="s">
        <v>21</v>
      </c>
      <c r="D260" s="7" t="s">
        <v>45</v>
      </c>
      <c r="E260" s="7" t="s">
        <v>46</v>
      </c>
      <c r="F260" s="7">
        <v>210023</v>
      </c>
      <c r="G260" s="7" t="s">
        <v>47</v>
      </c>
      <c r="H260" s="7">
        <v>210001</v>
      </c>
      <c r="I260" s="7" t="s">
        <v>48</v>
      </c>
      <c r="J260" s="9">
        <v>125000</v>
      </c>
      <c r="K260" s="10">
        <v>133</v>
      </c>
      <c r="L260" s="11" t="s">
        <v>26</v>
      </c>
      <c r="M260" s="8">
        <v>47</v>
      </c>
      <c r="N260" s="8">
        <v>22</v>
      </c>
      <c r="O260" s="8">
        <v>69</v>
      </c>
      <c r="P260" s="12">
        <v>0.63</v>
      </c>
      <c r="Q260" s="13">
        <v>69000</v>
      </c>
      <c r="R260" s="10">
        <v>8</v>
      </c>
      <c r="S260" s="10">
        <v>6</v>
      </c>
      <c r="T260" s="10">
        <v>2</v>
      </c>
      <c r="U260">
        <f t="shared" si="4"/>
        <v>162</v>
      </c>
    </row>
    <row r="261" spans="1:21" x14ac:dyDescent="0.25">
      <c r="A261" s="21">
        <v>95000206</v>
      </c>
      <c r="B261" s="7" t="s">
        <v>370</v>
      </c>
      <c r="C261" s="8" t="s">
        <v>21</v>
      </c>
      <c r="D261" s="7" t="s">
        <v>22</v>
      </c>
      <c r="E261" s="7" t="s">
        <v>23</v>
      </c>
      <c r="F261" s="7">
        <v>270027</v>
      </c>
      <c r="G261" s="7" t="s">
        <v>345</v>
      </c>
      <c r="H261" s="7">
        <v>400000122</v>
      </c>
      <c r="I261" s="7" t="s">
        <v>25</v>
      </c>
      <c r="J261" s="9">
        <v>145400</v>
      </c>
      <c r="K261" s="10">
        <v>101</v>
      </c>
      <c r="L261" s="11" t="s">
        <v>26</v>
      </c>
      <c r="M261" s="8">
        <v>51</v>
      </c>
      <c r="N261" s="8">
        <v>38</v>
      </c>
      <c r="O261" s="8">
        <v>89</v>
      </c>
      <c r="P261" s="12">
        <v>0.45</v>
      </c>
      <c r="Q261" s="13">
        <v>53400</v>
      </c>
      <c r="R261" s="10">
        <v>10</v>
      </c>
      <c r="S261" s="10">
        <v>4</v>
      </c>
      <c r="T261" s="10">
        <v>6</v>
      </c>
      <c r="U261">
        <f t="shared" si="4"/>
        <v>121</v>
      </c>
    </row>
    <row r="262" spans="1:21" x14ac:dyDescent="0.25">
      <c r="A262" s="21">
        <v>95200208</v>
      </c>
      <c r="B262" s="7" t="s">
        <v>371</v>
      </c>
      <c r="C262" s="8" t="s">
        <v>21</v>
      </c>
      <c r="D262" s="7" t="s">
        <v>45</v>
      </c>
      <c r="E262" s="7" t="s">
        <v>107</v>
      </c>
      <c r="F262" s="7">
        <v>95200220</v>
      </c>
      <c r="G262" s="7" t="s">
        <v>372</v>
      </c>
      <c r="H262" s="7">
        <v>210001</v>
      </c>
      <c r="I262" s="7" t="s">
        <v>48</v>
      </c>
      <c r="J262" s="9">
        <v>95200</v>
      </c>
      <c r="K262" s="10">
        <v>176</v>
      </c>
      <c r="L262" s="11" t="s">
        <v>33</v>
      </c>
      <c r="M262" s="8">
        <v>34</v>
      </c>
      <c r="N262" s="8">
        <v>33</v>
      </c>
      <c r="O262" s="8">
        <v>67</v>
      </c>
      <c r="P262" s="12">
        <v>0.43</v>
      </c>
      <c r="Q262" s="13">
        <v>40200</v>
      </c>
      <c r="R262" s="10">
        <v>6</v>
      </c>
      <c r="S262" s="10">
        <v>3</v>
      </c>
      <c r="T262" s="10">
        <v>3</v>
      </c>
      <c r="U262">
        <f t="shared" si="4"/>
        <v>187</v>
      </c>
    </row>
    <row r="263" spans="1:21" x14ac:dyDescent="0.25">
      <c r="A263" s="21">
        <v>95200210</v>
      </c>
      <c r="B263" s="7" t="s">
        <v>373</v>
      </c>
      <c r="C263" s="8" t="s">
        <v>21</v>
      </c>
      <c r="D263" s="7" t="s">
        <v>45</v>
      </c>
      <c r="E263" s="7" t="s">
        <v>46</v>
      </c>
      <c r="F263" s="7">
        <v>150021</v>
      </c>
      <c r="G263" s="7" t="s">
        <v>75</v>
      </c>
      <c r="H263" s="7">
        <v>210001</v>
      </c>
      <c r="I263" s="7" t="s">
        <v>48</v>
      </c>
      <c r="J263" s="9">
        <v>124400</v>
      </c>
      <c r="K263" s="10">
        <v>136</v>
      </c>
      <c r="L263" s="11" t="s">
        <v>26</v>
      </c>
      <c r="M263" s="8">
        <v>53</v>
      </c>
      <c r="N263" s="8">
        <v>51</v>
      </c>
      <c r="O263" s="8">
        <v>104</v>
      </c>
      <c r="P263" s="12">
        <v>0.44</v>
      </c>
      <c r="Q263" s="13">
        <v>62400</v>
      </c>
      <c r="R263" s="10">
        <v>11</v>
      </c>
      <c r="S263" s="10">
        <v>7</v>
      </c>
      <c r="T263" s="10">
        <v>4</v>
      </c>
      <c r="U263">
        <f t="shared" si="4"/>
        <v>95</v>
      </c>
    </row>
    <row r="264" spans="1:21" x14ac:dyDescent="0.25">
      <c r="A264" s="21">
        <v>95200214</v>
      </c>
      <c r="B264" s="7" t="s">
        <v>374</v>
      </c>
      <c r="C264" s="8" t="s">
        <v>21</v>
      </c>
      <c r="D264" s="7" t="s">
        <v>45</v>
      </c>
      <c r="E264" s="7" t="s">
        <v>46</v>
      </c>
      <c r="F264" s="7">
        <v>150021</v>
      </c>
      <c r="G264" s="7" t="s">
        <v>75</v>
      </c>
      <c r="H264" s="7">
        <v>210001</v>
      </c>
      <c r="I264" s="7" t="s">
        <v>48</v>
      </c>
      <c r="J264" s="9">
        <v>109600</v>
      </c>
      <c r="K264" s="10">
        <v>160</v>
      </c>
      <c r="L264" s="11" t="s">
        <v>26</v>
      </c>
      <c r="M264" s="8">
        <v>32</v>
      </c>
      <c r="N264" s="8">
        <v>44</v>
      </c>
      <c r="O264" s="8">
        <v>76</v>
      </c>
      <c r="P264" s="12">
        <v>0.48</v>
      </c>
      <c r="Q264" s="13">
        <v>45600</v>
      </c>
      <c r="R264" s="10">
        <v>6</v>
      </c>
      <c r="S264" s="10">
        <v>2</v>
      </c>
      <c r="T264" s="10">
        <v>4</v>
      </c>
      <c r="U264">
        <f t="shared" si="4"/>
        <v>192</v>
      </c>
    </row>
    <row r="265" spans="1:21" x14ac:dyDescent="0.25">
      <c r="A265" s="21">
        <v>952002160</v>
      </c>
      <c r="B265" s="7" t="s">
        <v>375</v>
      </c>
      <c r="C265" s="8" t="s">
        <v>21</v>
      </c>
      <c r="D265" s="7" t="s">
        <v>45</v>
      </c>
      <c r="E265" s="7" t="s">
        <v>46</v>
      </c>
      <c r="F265" s="7">
        <v>150021</v>
      </c>
      <c r="G265" s="7" t="s">
        <v>75</v>
      </c>
      <c r="H265" s="7">
        <v>210001</v>
      </c>
      <c r="I265" s="7" t="s">
        <v>48</v>
      </c>
      <c r="J265" s="9">
        <v>128600</v>
      </c>
      <c r="K265" s="10">
        <v>128</v>
      </c>
      <c r="L265" s="11" t="s">
        <v>26</v>
      </c>
      <c r="M265" s="8">
        <v>25</v>
      </c>
      <c r="N265" s="8">
        <v>42</v>
      </c>
      <c r="O265" s="8">
        <v>67</v>
      </c>
      <c r="P265" s="12">
        <v>0.53</v>
      </c>
      <c r="Q265" s="13">
        <v>53600</v>
      </c>
      <c r="R265" s="10">
        <v>9</v>
      </c>
      <c r="S265" s="10">
        <v>6</v>
      </c>
      <c r="T265" s="10">
        <v>3</v>
      </c>
      <c r="U265">
        <f t="shared" si="4"/>
        <v>134</v>
      </c>
    </row>
    <row r="266" spans="1:21" x14ac:dyDescent="0.25">
      <c r="A266" s="21">
        <v>952002170</v>
      </c>
      <c r="B266" s="7" t="s">
        <v>376</v>
      </c>
      <c r="C266" s="8" t="s">
        <v>21</v>
      </c>
      <c r="D266" s="7" t="s">
        <v>45</v>
      </c>
      <c r="E266" s="7" t="s">
        <v>46</v>
      </c>
      <c r="F266" s="7">
        <v>150021</v>
      </c>
      <c r="G266" s="7" t="s">
        <v>75</v>
      </c>
      <c r="H266" s="7">
        <v>210001</v>
      </c>
      <c r="I266" s="7" t="s">
        <v>48</v>
      </c>
      <c r="J266" s="9">
        <v>104600</v>
      </c>
      <c r="K266" s="10">
        <v>166</v>
      </c>
      <c r="L266" s="11" t="s">
        <v>26</v>
      </c>
      <c r="M266" s="8">
        <v>30</v>
      </c>
      <c r="N266" s="8">
        <v>42</v>
      </c>
      <c r="O266" s="8">
        <v>72</v>
      </c>
      <c r="P266" s="12">
        <v>0.53</v>
      </c>
      <c r="Q266" s="13">
        <v>57600</v>
      </c>
      <c r="R266" s="10">
        <v>5</v>
      </c>
      <c r="S266" s="10">
        <v>2</v>
      </c>
      <c r="T266" s="10">
        <v>3</v>
      </c>
      <c r="U266">
        <f t="shared" si="4"/>
        <v>216</v>
      </c>
    </row>
    <row r="267" spans="1:21" x14ac:dyDescent="0.25">
      <c r="A267" s="21">
        <v>95200221</v>
      </c>
      <c r="B267" s="7" t="s">
        <v>377</v>
      </c>
      <c r="C267" s="8" t="s">
        <v>21</v>
      </c>
      <c r="D267" s="7" t="s">
        <v>45</v>
      </c>
      <c r="E267" s="7" t="s">
        <v>182</v>
      </c>
      <c r="F267" s="7">
        <v>430027</v>
      </c>
      <c r="G267" s="7" t="s">
        <v>188</v>
      </c>
      <c r="H267" s="7">
        <v>210001</v>
      </c>
      <c r="I267" s="7" t="s">
        <v>48</v>
      </c>
      <c r="J267" s="9">
        <v>125600</v>
      </c>
      <c r="K267" s="10">
        <v>132</v>
      </c>
      <c r="L267" s="11" t="s">
        <v>26</v>
      </c>
      <c r="M267" s="8">
        <v>88</v>
      </c>
      <c r="N267" s="8">
        <v>64</v>
      </c>
      <c r="O267" s="8">
        <v>152</v>
      </c>
      <c r="P267" s="12">
        <v>0.57999999999999996</v>
      </c>
      <c r="Q267" s="13">
        <v>121600</v>
      </c>
      <c r="R267" s="10">
        <v>16</v>
      </c>
      <c r="S267" s="10">
        <v>16</v>
      </c>
      <c r="T267" s="10">
        <v>0</v>
      </c>
      <c r="U267">
        <f t="shared" si="4"/>
        <v>38</v>
      </c>
    </row>
    <row r="268" spans="1:21" x14ac:dyDescent="0.25">
      <c r="A268" s="21">
        <v>952002221</v>
      </c>
      <c r="B268" s="7" t="s">
        <v>447</v>
      </c>
      <c r="C268" s="8" t="s">
        <v>21</v>
      </c>
      <c r="D268" s="7" t="s">
        <v>45</v>
      </c>
      <c r="E268" s="7" t="s">
        <v>182</v>
      </c>
      <c r="F268" s="7">
        <v>430027</v>
      </c>
      <c r="G268" s="7" t="s">
        <v>188</v>
      </c>
      <c r="H268" s="7">
        <v>210001</v>
      </c>
      <c r="I268" s="7" t="s">
        <v>48</v>
      </c>
      <c r="J268" s="9">
        <v>10000</v>
      </c>
      <c r="K268" s="10">
        <v>263</v>
      </c>
      <c r="L268" s="11" t="s">
        <v>33</v>
      </c>
      <c r="M268" s="8">
        <v>13</v>
      </c>
      <c r="N268" s="8">
        <v>0</v>
      </c>
      <c r="O268" s="8">
        <v>13</v>
      </c>
      <c r="P268" s="12">
        <v>0</v>
      </c>
      <c r="Q268" s="13">
        <v>0</v>
      </c>
      <c r="R268" s="10">
        <v>2</v>
      </c>
      <c r="S268" s="10">
        <v>0</v>
      </c>
      <c r="T268" s="10">
        <v>2</v>
      </c>
      <c r="U268">
        <f t="shared" si="4"/>
        <v>249</v>
      </c>
    </row>
    <row r="269" spans="1:21" x14ac:dyDescent="0.25">
      <c r="A269" s="21">
        <v>95200230</v>
      </c>
      <c r="B269" s="7" t="s">
        <v>378</v>
      </c>
      <c r="C269" s="8" t="s">
        <v>21</v>
      </c>
      <c r="D269" s="7" t="s">
        <v>45</v>
      </c>
      <c r="E269" s="7" t="s">
        <v>107</v>
      </c>
      <c r="F269" s="7">
        <v>95200220</v>
      </c>
      <c r="G269" s="7" t="s">
        <v>372</v>
      </c>
      <c r="H269" s="7">
        <v>210001</v>
      </c>
      <c r="I269" s="7" t="s">
        <v>48</v>
      </c>
      <c r="J269" s="9">
        <v>55200</v>
      </c>
      <c r="K269" s="10">
        <v>222</v>
      </c>
      <c r="L269" s="11" t="s">
        <v>33</v>
      </c>
      <c r="M269" s="8">
        <v>28</v>
      </c>
      <c r="N269" s="8">
        <v>24</v>
      </c>
      <c r="O269" s="8">
        <v>52</v>
      </c>
      <c r="P269" s="12">
        <v>0.48</v>
      </c>
      <c r="Q269" s="13">
        <v>31200</v>
      </c>
      <c r="R269" s="10">
        <v>5</v>
      </c>
      <c r="S269" s="10">
        <v>1</v>
      </c>
      <c r="T269" s="10">
        <v>4</v>
      </c>
      <c r="U269">
        <f t="shared" si="4"/>
        <v>217</v>
      </c>
    </row>
    <row r="270" spans="1:21" x14ac:dyDescent="0.25">
      <c r="A270" s="21">
        <v>95200231</v>
      </c>
      <c r="B270" s="7" t="s">
        <v>379</v>
      </c>
      <c r="C270" s="8" t="s">
        <v>21</v>
      </c>
      <c r="D270" s="7" t="s">
        <v>45</v>
      </c>
      <c r="E270" s="7" t="s">
        <v>107</v>
      </c>
      <c r="F270" s="7">
        <v>95200220</v>
      </c>
      <c r="G270" s="7" t="s">
        <v>372</v>
      </c>
      <c r="H270" s="7">
        <v>210001</v>
      </c>
      <c r="I270" s="7" t="s">
        <v>48</v>
      </c>
      <c r="J270" s="9">
        <v>126000</v>
      </c>
      <c r="K270" s="10">
        <v>131</v>
      </c>
      <c r="L270" s="11" t="s">
        <v>26</v>
      </c>
      <c r="M270" s="8">
        <v>64</v>
      </c>
      <c r="N270" s="8">
        <v>51</v>
      </c>
      <c r="O270" s="8">
        <v>115</v>
      </c>
      <c r="P270" s="12">
        <v>0.53</v>
      </c>
      <c r="Q270" s="13">
        <v>92000</v>
      </c>
      <c r="R270" s="10">
        <v>9</v>
      </c>
      <c r="S270" s="10">
        <v>7</v>
      </c>
      <c r="T270" s="10">
        <v>2</v>
      </c>
      <c r="U270">
        <f t="shared" si="4"/>
        <v>149</v>
      </c>
    </row>
    <row r="271" spans="1:21" x14ac:dyDescent="0.25">
      <c r="A271" s="21">
        <v>95200232</v>
      </c>
      <c r="B271" s="7" t="s">
        <v>380</v>
      </c>
      <c r="C271" s="8" t="s">
        <v>21</v>
      </c>
      <c r="D271" s="7" t="s">
        <v>45</v>
      </c>
      <c r="E271" s="7" t="s">
        <v>182</v>
      </c>
      <c r="F271" s="7">
        <v>2101070003</v>
      </c>
      <c r="G271" s="7" t="s">
        <v>194</v>
      </c>
      <c r="H271" s="7">
        <v>210001</v>
      </c>
      <c r="I271" s="7" t="s">
        <v>48</v>
      </c>
      <c r="J271" s="9">
        <v>174600</v>
      </c>
      <c r="K271" s="10">
        <v>75</v>
      </c>
      <c r="L271" s="11" t="s">
        <v>26</v>
      </c>
      <c r="M271" s="8">
        <v>61</v>
      </c>
      <c r="N271" s="8">
        <v>56</v>
      </c>
      <c r="O271" s="8">
        <v>117</v>
      </c>
      <c r="P271" s="12">
        <v>0.53</v>
      </c>
      <c r="Q271" s="13">
        <v>93600</v>
      </c>
      <c r="R271" s="10">
        <v>13</v>
      </c>
      <c r="S271" s="10">
        <v>8</v>
      </c>
      <c r="T271" s="10">
        <v>5</v>
      </c>
      <c r="U271">
        <f t="shared" si="4"/>
        <v>73</v>
      </c>
    </row>
    <row r="272" spans="1:21" x14ac:dyDescent="0.25">
      <c r="A272" s="21">
        <v>952002355</v>
      </c>
      <c r="B272" s="7" t="s">
        <v>381</v>
      </c>
      <c r="C272" s="8" t="s">
        <v>21</v>
      </c>
      <c r="D272" s="7" t="s">
        <v>45</v>
      </c>
      <c r="E272" s="7" t="s">
        <v>182</v>
      </c>
      <c r="F272" s="7">
        <v>2101070003</v>
      </c>
      <c r="G272" s="7" t="s">
        <v>194</v>
      </c>
      <c r="H272" s="7">
        <v>210001</v>
      </c>
      <c r="I272" s="7" t="s">
        <v>48</v>
      </c>
      <c r="J272" s="9">
        <v>0</v>
      </c>
      <c r="K272" s="10">
        <v>274</v>
      </c>
      <c r="L272" s="11" t="s">
        <v>33</v>
      </c>
      <c r="M272" s="8">
        <v>1</v>
      </c>
      <c r="N272" s="8">
        <v>0</v>
      </c>
      <c r="O272" s="8">
        <v>1</v>
      </c>
      <c r="P272" s="12">
        <v>0</v>
      </c>
      <c r="Q272" s="13">
        <v>0</v>
      </c>
      <c r="R272" s="10">
        <v>0</v>
      </c>
      <c r="S272" s="10">
        <v>0</v>
      </c>
      <c r="T272" s="10">
        <v>0</v>
      </c>
      <c r="U272">
        <f t="shared" si="4"/>
        <v>306</v>
      </c>
    </row>
    <row r="273" spans="1:21" x14ac:dyDescent="0.25">
      <c r="A273" s="21">
        <v>953009092</v>
      </c>
      <c r="B273" s="7" t="s">
        <v>382</v>
      </c>
      <c r="C273" s="8" t="s">
        <v>21</v>
      </c>
      <c r="D273" s="7" t="s">
        <v>22</v>
      </c>
      <c r="E273" s="7" t="s">
        <v>70</v>
      </c>
      <c r="F273" s="7">
        <v>953009090</v>
      </c>
      <c r="G273" s="7" t="s">
        <v>339</v>
      </c>
      <c r="H273" s="7">
        <v>400000122</v>
      </c>
      <c r="I273" s="7" t="s">
        <v>25</v>
      </c>
      <c r="J273" s="9">
        <v>152400</v>
      </c>
      <c r="K273" s="10">
        <v>95</v>
      </c>
      <c r="L273" s="11" t="s">
        <v>26</v>
      </c>
      <c r="M273" s="8">
        <v>73</v>
      </c>
      <c r="N273" s="8">
        <v>20</v>
      </c>
      <c r="O273" s="8">
        <v>93</v>
      </c>
      <c r="P273" s="12">
        <v>0.56999999999999995</v>
      </c>
      <c r="Q273" s="13">
        <v>74400</v>
      </c>
      <c r="R273" s="10">
        <v>14</v>
      </c>
      <c r="S273" s="10">
        <v>12</v>
      </c>
      <c r="T273" s="10">
        <v>2</v>
      </c>
      <c r="U273">
        <f t="shared" si="4"/>
        <v>52</v>
      </c>
    </row>
    <row r="274" spans="1:21" x14ac:dyDescent="0.25">
      <c r="A274" s="21">
        <v>953009093</v>
      </c>
      <c r="B274" s="7" t="s">
        <v>383</v>
      </c>
      <c r="C274" s="8" t="s">
        <v>21</v>
      </c>
      <c r="D274" s="7" t="s">
        <v>22</v>
      </c>
      <c r="E274" s="7" t="s">
        <v>70</v>
      </c>
      <c r="F274" s="7">
        <v>953009090</v>
      </c>
      <c r="G274" s="7" t="s">
        <v>339</v>
      </c>
      <c r="H274" s="7">
        <v>400000122</v>
      </c>
      <c r="I274" s="7" t="s">
        <v>25</v>
      </c>
      <c r="J274" s="9">
        <v>149000</v>
      </c>
      <c r="K274" s="10">
        <v>98</v>
      </c>
      <c r="L274" s="11" t="s">
        <v>26</v>
      </c>
      <c r="M274" s="8">
        <v>45</v>
      </c>
      <c r="N274" s="8">
        <v>32</v>
      </c>
      <c r="O274" s="8">
        <v>77</v>
      </c>
      <c r="P274" s="12">
        <v>0.7</v>
      </c>
      <c r="Q274" s="13">
        <v>77000</v>
      </c>
      <c r="R274" s="10">
        <v>12</v>
      </c>
      <c r="S274" s="10">
        <v>10</v>
      </c>
      <c r="T274" s="10">
        <v>2</v>
      </c>
      <c r="U274">
        <f t="shared" si="4"/>
        <v>82</v>
      </c>
    </row>
    <row r="275" spans="1:21" x14ac:dyDescent="0.25">
      <c r="A275" s="21">
        <v>953009094</v>
      </c>
      <c r="B275" s="7" t="s">
        <v>384</v>
      </c>
      <c r="C275" s="8" t="s">
        <v>21</v>
      </c>
      <c r="D275" s="7" t="s">
        <v>22</v>
      </c>
      <c r="E275" s="7" t="s">
        <v>70</v>
      </c>
      <c r="F275" s="7">
        <v>200000</v>
      </c>
      <c r="G275" s="7" t="s">
        <v>71</v>
      </c>
      <c r="H275" s="7">
        <v>400000122</v>
      </c>
      <c r="I275" s="7" t="s">
        <v>25</v>
      </c>
      <c r="J275" s="9">
        <v>174000</v>
      </c>
      <c r="K275" s="10">
        <v>76</v>
      </c>
      <c r="L275" s="11" t="s">
        <v>26</v>
      </c>
      <c r="M275" s="8">
        <v>124</v>
      </c>
      <c r="N275" s="8">
        <v>44</v>
      </c>
      <c r="O275" s="8">
        <v>168</v>
      </c>
      <c r="P275" s="12">
        <v>0.61</v>
      </c>
      <c r="Q275" s="13">
        <v>168000</v>
      </c>
      <c r="R275" s="10">
        <v>17</v>
      </c>
      <c r="S275" s="10">
        <v>26</v>
      </c>
      <c r="T275" s="10">
        <v>0</v>
      </c>
      <c r="U275">
        <f t="shared" si="4"/>
        <v>29</v>
      </c>
    </row>
    <row r="276" spans="1:21" x14ac:dyDescent="0.25">
      <c r="A276" s="22">
        <v>953009097</v>
      </c>
      <c r="B276" s="10" t="s">
        <v>448</v>
      </c>
      <c r="C276" s="8" t="s">
        <v>21</v>
      </c>
      <c r="D276" s="16" t="s">
        <v>22</v>
      </c>
      <c r="E276" s="16" t="s">
        <v>70</v>
      </c>
      <c r="F276" s="10">
        <v>200000</v>
      </c>
      <c r="G276" s="10" t="s">
        <v>71</v>
      </c>
      <c r="H276" s="10">
        <v>400000122</v>
      </c>
      <c r="I276" s="10" t="s">
        <v>25</v>
      </c>
      <c r="J276" s="9">
        <v>5000</v>
      </c>
      <c r="K276" s="10">
        <v>266</v>
      </c>
      <c r="L276" s="11" t="s">
        <v>33</v>
      </c>
      <c r="M276" s="8">
        <v>7</v>
      </c>
      <c r="N276" s="8">
        <v>0</v>
      </c>
      <c r="O276" s="8">
        <v>7</v>
      </c>
      <c r="P276" s="12">
        <v>0</v>
      </c>
      <c r="Q276" s="13">
        <v>0</v>
      </c>
      <c r="R276" s="10">
        <v>1</v>
      </c>
      <c r="S276" s="10">
        <v>0</v>
      </c>
      <c r="T276" s="10">
        <v>1</v>
      </c>
      <c r="U276">
        <f t="shared" si="4"/>
        <v>270</v>
      </c>
    </row>
    <row r="277" spans="1:21" x14ac:dyDescent="0.25">
      <c r="A277" s="22">
        <v>953009098</v>
      </c>
      <c r="B277" s="10" t="s">
        <v>449</v>
      </c>
      <c r="C277" s="8" t="s">
        <v>21</v>
      </c>
      <c r="D277" s="16" t="s">
        <v>22</v>
      </c>
      <c r="E277" s="16" t="s">
        <v>70</v>
      </c>
      <c r="F277" s="10">
        <v>200000</v>
      </c>
      <c r="G277" s="10" t="s">
        <v>71</v>
      </c>
      <c r="H277" s="10">
        <v>400000122</v>
      </c>
      <c r="I277" s="10" t="s">
        <v>25</v>
      </c>
      <c r="J277" s="9">
        <v>5000</v>
      </c>
      <c r="K277" s="10">
        <v>266</v>
      </c>
      <c r="L277" s="11" t="s">
        <v>33</v>
      </c>
      <c r="M277" s="8">
        <v>5</v>
      </c>
      <c r="N277" s="8">
        <v>0</v>
      </c>
      <c r="O277" s="8">
        <v>5</v>
      </c>
      <c r="P277" s="12">
        <v>0</v>
      </c>
      <c r="Q277" s="14">
        <v>0</v>
      </c>
      <c r="R277" s="10">
        <v>1</v>
      </c>
      <c r="S277" s="10">
        <v>0</v>
      </c>
      <c r="T277" s="10">
        <v>1</v>
      </c>
      <c r="U277">
        <f t="shared" si="4"/>
        <v>267</v>
      </c>
    </row>
    <row r="278" spans="1:21" x14ac:dyDescent="0.25">
      <c r="A278" s="22">
        <v>953009099</v>
      </c>
      <c r="B278" s="10" t="s">
        <v>450</v>
      </c>
      <c r="C278" s="8" t="s">
        <v>21</v>
      </c>
      <c r="D278" s="7" t="s">
        <v>22</v>
      </c>
      <c r="E278" s="16" t="s">
        <v>70</v>
      </c>
      <c r="F278" s="10">
        <v>953009090</v>
      </c>
      <c r="G278" s="10" t="s">
        <v>339</v>
      </c>
      <c r="H278" s="10">
        <v>400000122</v>
      </c>
      <c r="I278" s="10" t="s">
        <v>25</v>
      </c>
      <c r="J278" s="9">
        <v>0</v>
      </c>
      <c r="K278" s="10">
        <v>274</v>
      </c>
      <c r="L278" s="11" t="s">
        <v>33</v>
      </c>
      <c r="M278" s="8">
        <v>2</v>
      </c>
      <c r="N278" s="8">
        <v>0</v>
      </c>
      <c r="O278" s="8">
        <v>2</v>
      </c>
      <c r="P278" s="12">
        <v>0</v>
      </c>
      <c r="Q278" s="13">
        <v>0</v>
      </c>
      <c r="R278" s="10">
        <v>0</v>
      </c>
      <c r="S278" s="10">
        <v>0</v>
      </c>
      <c r="T278" s="10">
        <v>0</v>
      </c>
      <c r="U278">
        <f t="shared" si="4"/>
        <v>308</v>
      </c>
    </row>
    <row r="279" spans="1:21" x14ac:dyDescent="0.25">
      <c r="A279" s="22">
        <v>953009100</v>
      </c>
      <c r="B279" s="10" t="s">
        <v>451</v>
      </c>
      <c r="C279" s="8" t="s">
        <v>21</v>
      </c>
      <c r="D279" s="7" t="s">
        <v>22</v>
      </c>
      <c r="E279" s="16" t="s">
        <v>70</v>
      </c>
      <c r="F279" s="10">
        <v>953009090</v>
      </c>
      <c r="G279" s="10" t="s">
        <v>339</v>
      </c>
      <c r="H279" s="10">
        <v>400000122</v>
      </c>
      <c r="I279" s="10" t="s">
        <v>25</v>
      </c>
      <c r="J279" s="9">
        <v>0</v>
      </c>
      <c r="K279" s="10">
        <v>274</v>
      </c>
      <c r="L279" s="11" t="s">
        <v>33</v>
      </c>
      <c r="M279" s="8">
        <v>0</v>
      </c>
      <c r="N279" s="8">
        <v>0</v>
      </c>
      <c r="O279" s="8">
        <v>0</v>
      </c>
      <c r="P279" s="12">
        <v>0</v>
      </c>
      <c r="Q279" s="13">
        <v>0</v>
      </c>
      <c r="R279" s="10">
        <v>0</v>
      </c>
      <c r="S279" s="10">
        <v>0</v>
      </c>
      <c r="T279" s="10">
        <v>0</v>
      </c>
      <c r="U279">
        <f t="shared" si="4"/>
        <v>294</v>
      </c>
    </row>
    <row r="280" spans="1:21" x14ac:dyDescent="0.25">
      <c r="A280" s="22">
        <v>953009101</v>
      </c>
      <c r="B280" s="10" t="s">
        <v>452</v>
      </c>
      <c r="C280" s="8" t="s">
        <v>21</v>
      </c>
      <c r="D280" s="16" t="s">
        <v>22</v>
      </c>
      <c r="E280" s="16" t="s">
        <v>70</v>
      </c>
      <c r="F280" s="10">
        <v>200000</v>
      </c>
      <c r="G280" s="10" t="s">
        <v>71</v>
      </c>
      <c r="H280" s="10">
        <v>400000122</v>
      </c>
      <c r="I280" s="10" t="s">
        <v>25</v>
      </c>
      <c r="J280" s="9">
        <v>5000</v>
      </c>
      <c r="K280" s="10">
        <v>266</v>
      </c>
      <c r="L280" s="11" t="s">
        <v>33</v>
      </c>
      <c r="M280" s="8">
        <v>5</v>
      </c>
      <c r="N280" s="8">
        <v>0</v>
      </c>
      <c r="O280" s="8">
        <v>5</v>
      </c>
      <c r="P280" s="12">
        <v>0</v>
      </c>
      <c r="Q280" s="13">
        <v>0</v>
      </c>
      <c r="R280" s="10">
        <v>1</v>
      </c>
      <c r="S280" s="10">
        <v>0</v>
      </c>
      <c r="T280" s="10">
        <v>1</v>
      </c>
      <c r="U280">
        <f t="shared" si="4"/>
        <v>268</v>
      </c>
    </row>
    <row r="281" spans="1:21" x14ac:dyDescent="0.25">
      <c r="A281" s="22">
        <v>960000125</v>
      </c>
      <c r="B281" s="10" t="s">
        <v>385</v>
      </c>
      <c r="C281" s="8" t="s">
        <v>21</v>
      </c>
      <c r="D281" s="16" t="s">
        <v>96</v>
      </c>
      <c r="E281" s="16" t="s">
        <v>129</v>
      </c>
      <c r="F281" s="10">
        <v>380040</v>
      </c>
      <c r="G281" s="10" t="s">
        <v>175</v>
      </c>
      <c r="H281" s="10">
        <v>300910002</v>
      </c>
      <c r="I281" s="10" t="s">
        <v>99</v>
      </c>
      <c r="J281" s="9">
        <v>114000</v>
      </c>
      <c r="K281" s="10">
        <v>147</v>
      </c>
      <c r="L281" s="11" t="s">
        <v>26</v>
      </c>
      <c r="M281" s="8">
        <v>105</v>
      </c>
      <c r="N281" s="8">
        <v>9</v>
      </c>
      <c r="O281" s="8">
        <v>114</v>
      </c>
      <c r="P281" s="12">
        <v>0.67</v>
      </c>
      <c r="Q281" s="13">
        <v>114000</v>
      </c>
      <c r="R281" s="10">
        <v>12</v>
      </c>
      <c r="S281" s="10">
        <v>17</v>
      </c>
      <c r="T281" s="10">
        <v>0</v>
      </c>
      <c r="U281">
        <f t="shared" si="4"/>
        <v>88</v>
      </c>
    </row>
    <row r="282" spans="1:21" x14ac:dyDescent="0.25">
      <c r="A282" s="22">
        <v>960000131</v>
      </c>
      <c r="B282" s="10" t="s">
        <v>453</v>
      </c>
      <c r="C282" s="8" t="s">
        <v>21</v>
      </c>
      <c r="D282" s="16" t="s">
        <v>96</v>
      </c>
      <c r="E282" s="16" t="s">
        <v>165</v>
      </c>
      <c r="F282" s="10">
        <v>96200205</v>
      </c>
      <c r="G282" s="10" t="s">
        <v>171</v>
      </c>
      <c r="H282" s="10">
        <v>300910002</v>
      </c>
      <c r="I282" s="10" t="s">
        <v>99</v>
      </c>
      <c r="J282" s="9">
        <v>14400</v>
      </c>
      <c r="K282" s="10">
        <v>258</v>
      </c>
      <c r="L282" s="11" t="s">
        <v>33</v>
      </c>
      <c r="M282" s="8">
        <v>1</v>
      </c>
      <c r="N282" s="8">
        <v>12</v>
      </c>
      <c r="O282" s="8">
        <v>13</v>
      </c>
      <c r="P282" s="12">
        <v>0.51</v>
      </c>
      <c r="Q282" s="13">
        <v>10400</v>
      </c>
      <c r="R282" s="10">
        <v>1</v>
      </c>
      <c r="S282" s="10">
        <v>1</v>
      </c>
      <c r="T282" s="10">
        <v>0</v>
      </c>
      <c r="U282">
        <f t="shared" si="4"/>
        <v>261</v>
      </c>
    </row>
    <row r="283" spans="1:21" x14ac:dyDescent="0.25">
      <c r="A283" s="22">
        <v>960000200</v>
      </c>
      <c r="B283" s="10" t="s">
        <v>386</v>
      </c>
      <c r="C283" s="8" t="s">
        <v>21</v>
      </c>
      <c r="D283" s="16" t="s">
        <v>96</v>
      </c>
      <c r="E283" s="16" t="s">
        <v>387</v>
      </c>
      <c r="F283" s="10">
        <v>9620000210</v>
      </c>
      <c r="G283" s="10" t="s">
        <v>388</v>
      </c>
      <c r="H283" s="10">
        <v>300910002</v>
      </c>
      <c r="I283" s="10" t="s">
        <v>99</v>
      </c>
      <c r="J283" s="9">
        <v>362400</v>
      </c>
      <c r="K283" s="10">
        <v>12</v>
      </c>
      <c r="L283" s="11" t="s">
        <v>26</v>
      </c>
      <c r="M283" s="8">
        <v>111</v>
      </c>
      <c r="N283" s="8">
        <v>16</v>
      </c>
      <c r="O283" s="8">
        <v>127</v>
      </c>
      <c r="P283" s="12">
        <v>0.87</v>
      </c>
      <c r="Q283" s="13">
        <v>152400</v>
      </c>
      <c r="R283" s="10">
        <v>13</v>
      </c>
      <c r="S283" s="10">
        <v>7</v>
      </c>
      <c r="T283" s="10">
        <v>6</v>
      </c>
      <c r="U283">
        <f t="shared" si="4"/>
        <v>70</v>
      </c>
    </row>
    <row r="284" spans="1:21" x14ac:dyDescent="0.25">
      <c r="A284" s="22">
        <v>960000203</v>
      </c>
      <c r="B284" s="10" t="s">
        <v>389</v>
      </c>
      <c r="C284" s="8" t="s">
        <v>21</v>
      </c>
      <c r="D284" s="16" t="s">
        <v>96</v>
      </c>
      <c r="E284" s="16" t="s">
        <v>97</v>
      </c>
      <c r="F284" s="10">
        <v>230019</v>
      </c>
      <c r="G284" s="10" t="s">
        <v>98</v>
      </c>
      <c r="H284" s="10">
        <v>300910002</v>
      </c>
      <c r="I284" s="10" t="s">
        <v>99</v>
      </c>
      <c r="J284" s="9">
        <v>153800</v>
      </c>
      <c r="K284" s="10">
        <v>93</v>
      </c>
      <c r="L284" s="11" t="s">
        <v>26</v>
      </c>
      <c r="M284" s="8">
        <v>83</v>
      </c>
      <c r="N284" s="8">
        <v>16</v>
      </c>
      <c r="O284" s="8">
        <v>99</v>
      </c>
      <c r="P284" s="12">
        <v>0.71</v>
      </c>
      <c r="Q284" s="13">
        <v>118800</v>
      </c>
      <c r="R284" s="10">
        <v>14</v>
      </c>
      <c r="S284" s="10">
        <v>13</v>
      </c>
      <c r="T284" s="10">
        <v>1</v>
      </c>
      <c r="U284">
        <f t="shared" si="4"/>
        <v>53</v>
      </c>
    </row>
    <row r="285" spans="1:21" x14ac:dyDescent="0.25">
      <c r="A285" s="22">
        <v>960000240</v>
      </c>
      <c r="B285" s="10" t="s">
        <v>390</v>
      </c>
      <c r="C285" s="8" t="s">
        <v>21</v>
      </c>
      <c r="D285" s="16" t="s">
        <v>22</v>
      </c>
      <c r="E285" s="16" t="s">
        <v>101</v>
      </c>
      <c r="F285" s="10">
        <v>95000205</v>
      </c>
      <c r="G285" s="10" t="s">
        <v>102</v>
      </c>
      <c r="H285" s="10">
        <v>400000122</v>
      </c>
      <c r="I285" s="10" t="s">
        <v>25</v>
      </c>
      <c r="J285" s="9">
        <v>334200</v>
      </c>
      <c r="K285" s="10">
        <v>14</v>
      </c>
      <c r="L285" s="11" t="s">
        <v>26</v>
      </c>
      <c r="M285" s="8">
        <v>132</v>
      </c>
      <c r="N285" s="8">
        <v>59</v>
      </c>
      <c r="O285" s="8">
        <v>191</v>
      </c>
      <c r="P285" s="12">
        <v>0.71</v>
      </c>
      <c r="Q285" s="13">
        <v>229200</v>
      </c>
      <c r="R285" s="10">
        <v>25</v>
      </c>
      <c r="S285" s="10">
        <v>22</v>
      </c>
      <c r="T285" s="10">
        <v>3</v>
      </c>
      <c r="U285">
        <f t="shared" si="4"/>
        <v>7</v>
      </c>
    </row>
    <row r="286" spans="1:21" x14ac:dyDescent="0.25">
      <c r="A286" s="22">
        <v>960000241</v>
      </c>
      <c r="B286" s="10" t="s">
        <v>391</v>
      </c>
      <c r="C286" s="8" t="s">
        <v>21</v>
      </c>
      <c r="D286" s="16" t="s">
        <v>22</v>
      </c>
      <c r="E286" s="16" t="s">
        <v>101</v>
      </c>
      <c r="F286" s="10">
        <v>270001</v>
      </c>
      <c r="G286" s="10" t="s">
        <v>104</v>
      </c>
      <c r="H286" s="10">
        <v>400000122</v>
      </c>
      <c r="I286" s="10" t="s">
        <v>25</v>
      </c>
      <c r="J286" s="9">
        <v>446800</v>
      </c>
      <c r="K286" s="10">
        <v>7</v>
      </c>
      <c r="L286" s="11" t="s">
        <v>26</v>
      </c>
      <c r="M286" s="8">
        <v>83</v>
      </c>
      <c r="N286" s="8">
        <v>56</v>
      </c>
      <c r="O286" s="8">
        <v>139</v>
      </c>
      <c r="P286" s="12">
        <v>0.87</v>
      </c>
      <c r="Q286" s="13">
        <v>166800</v>
      </c>
      <c r="R286" s="10">
        <v>22</v>
      </c>
      <c r="S286" s="10">
        <v>14</v>
      </c>
      <c r="T286" s="10">
        <v>8</v>
      </c>
      <c r="U286">
        <f t="shared" si="4"/>
        <v>13</v>
      </c>
    </row>
    <row r="287" spans="1:21" x14ac:dyDescent="0.25">
      <c r="A287" s="22">
        <v>960000242</v>
      </c>
      <c r="B287" s="10" t="s">
        <v>392</v>
      </c>
      <c r="C287" s="8" t="s">
        <v>21</v>
      </c>
      <c r="D287" s="16" t="s">
        <v>22</v>
      </c>
      <c r="E287" s="16" t="s">
        <v>101</v>
      </c>
      <c r="F287" s="10">
        <v>270047</v>
      </c>
      <c r="G287" s="10" t="s">
        <v>393</v>
      </c>
      <c r="H287" s="10">
        <v>400000122</v>
      </c>
      <c r="I287" s="10" t="s">
        <v>25</v>
      </c>
      <c r="J287" s="9">
        <v>330200</v>
      </c>
      <c r="K287" s="10">
        <v>15</v>
      </c>
      <c r="L287" s="11" t="s">
        <v>26</v>
      </c>
      <c r="M287" s="8">
        <v>75</v>
      </c>
      <c r="N287" s="8">
        <v>51</v>
      </c>
      <c r="O287" s="8">
        <v>126</v>
      </c>
      <c r="P287" s="12">
        <v>0.77</v>
      </c>
      <c r="Q287" s="13">
        <v>151200</v>
      </c>
      <c r="R287" s="10">
        <v>17</v>
      </c>
      <c r="S287" s="10">
        <v>12</v>
      </c>
      <c r="T287" s="10">
        <v>5</v>
      </c>
      <c r="U287">
        <f t="shared" si="4"/>
        <v>32</v>
      </c>
    </row>
    <row r="288" spans="1:21" x14ac:dyDescent="0.25">
      <c r="A288" s="22">
        <v>960000243</v>
      </c>
      <c r="B288" s="10" t="s">
        <v>394</v>
      </c>
      <c r="C288" s="8" t="s">
        <v>21</v>
      </c>
      <c r="D288" s="16" t="s">
        <v>22</v>
      </c>
      <c r="E288" s="16" t="s">
        <v>101</v>
      </c>
      <c r="F288" s="10">
        <v>270047</v>
      </c>
      <c r="G288" s="10" t="s">
        <v>393</v>
      </c>
      <c r="H288" s="10">
        <v>400000122</v>
      </c>
      <c r="I288" s="10" t="s">
        <v>25</v>
      </c>
      <c r="J288" s="9">
        <v>276000</v>
      </c>
      <c r="K288" s="10">
        <v>27</v>
      </c>
      <c r="L288" s="11" t="s">
        <v>26</v>
      </c>
      <c r="M288" s="8">
        <v>92</v>
      </c>
      <c r="N288" s="8">
        <v>40</v>
      </c>
      <c r="O288" s="8">
        <v>132</v>
      </c>
      <c r="P288" s="12">
        <v>0.63</v>
      </c>
      <c r="Q288" s="13">
        <v>132000</v>
      </c>
      <c r="R288" s="10">
        <v>17</v>
      </c>
      <c r="S288" s="10">
        <v>13</v>
      </c>
      <c r="T288" s="10">
        <v>4</v>
      </c>
      <c r="U288">
        <f t="shared" si="4"/>
        <v>26</v>
      </c>
    </row>
    <row r="289" spans="1:21" x14ac:dyDescent="0.25">
      <c r="A289" s="22">
        <v>960000244</v>
      </c>
      <c r="B289" s="10" t="s">
        <v>395</v>
      </c>
      <c r="C289" s="8" t="s">
        <v>21</v>
      </c>
      <c r="D289" s="16" t="s">
        <v>22</v>
      </c>
      <c r="E289" s="16" t="s">
        <v>101</v>
      </c>
      <c r="F289" s="10">
        <v>270001</v>
      </c>
      <c r="G289" s="10" t="s">
        <v>104</v>
      </c>
      <c r="H289" s="10">
        <v>400000122</v>
      </c>
      <c r="I289" s="10" t="s">
        <v>25</v>
      </c>
      <c r="J289" s="9">
        <v>553000</v>
      </c>
      <c r="K289" s="10">
        <v>3</v>
      </c>
      <c r="L289" s="11" t="s">
        <v>26</v>
      </c>
      <c r="M289" s="8">
        <v>128</v>
      </c>
      <c r="N289" s="8">
        <v>67</v>
      </c>
      <c r="O289" s="8">
        <v>195</v>
      </c>
      <c r="P289" s="12">
        <v>0.82</v>
      </c>
      <c r="Q289" s="13">
        <v>234000</v>
      </c>
      <c r="R289" s="10">
        <v>24</v>
      </c>
      <c r="S289" s="10">
        <v>15</v>
      </c>
      <c r="T289" s="10">
        <v>9</v>
      </c>
      <c r="U289">
        <f t="shared" si="4"/>
        <v>9</v>
      </c>
    </row>
    <row r="290" spans="1:21" x14ac:dyDescent="0.25">
      <c r="A290" s="22">
        <v>960000245</v>
      </c>
      <c r="B290" s="10" t="s">
        <v>396</v>
      </c>
      <c r="C290" s="8" t="s">
        <v>21</v>
      </c>
      <c r="D290" s="16" t="s">
        <v>22</v>
      </c>
      <c r="E290" s="16" t="s">
        <v>101</v>
      </c>
      <c r="F290" s="10">
        <v>270047</v>
      </c>
      <c r="G290" s="10" t="s">
        <v>393</v>
      </c>
      <c r="H290" s="10">
        <v>400000122</v>
      </c>
      <c r="I290" s="10" t="s">
        <v>25</v>
      </c>
      <c r="J290" s="9">
        <v>219800</v>
      </c>
      <c r="K290" s="10">
        <v>46</v>
      </c>
      <c r="L290" s="11" t="s">
        <v>26</v>
      </c>
      <c r="M290" s="8">
        <v>79</v>
      </c>
      <c r="N290" s="8">
        <v>15</v>
      </c>
      <c r="O290" s="8">
        <v>94</v>
      </c>
      <c r="P290" s="12">
        <v>0.77</v>
      </c>
      <c r="Q290" s="13">
        <v>112800</v>
      </c>
      <c r="R290" s="10">
        <v>14</v>
      </c>
      <c r="S290" s="10">
        <v>11</v>
      </c>
      <c r="T290" s="10">
        <v>3</v>
      </c>
      <c r="U290">
        <f t="shared" si="4"/>
        <v>50</v>
      </c>
    </row>
    <row r="291" spans="1:21" x14ac:dyDescent="0.25">
      <c r="A291" s="22">
        <v>960000250</v>
      </c>
      <c r="B291" s="10" t="s">
        <v>454</v>
      </c>
      <c r="C291" s="8" t="s">
        <v>21</v>
      </c>
      <c r="D291" s="16" t="s">
        <v>22</v>
      </c>
      <c r="E291" s="16" t="s">
        <v>101</v>
      </c>
      <c r="F291" s="10">
        <v>95000205</v>
      </c>
      <c r="G291" s="10" t="s">
        <v>102</v>
      </c>
      <c r="H291" s="10">
        <v>400000122</v>
      </c>
      <c r="I291" s="10" t="s">
        <v>25</v>
      </c>
      <c r="J291" s="9">
        <v>0</v>
      </c>
      <c r="K291" s="10">
        <v>274</v>
      </c>
      <c r="L291" s="11" t="s">
        <v>33</v>
      </c>
      <c r="M291" s="8">
        <v>0</v>
      </c>
      <c r="N291" s="8">
        <v>0</v>
      </c>
      <c r="O291" s="8">
        <v>0</v>
      </c>
      <c r="P291" s="12">
        <v>0</v>
      </c>
      <c r="Q291" s="13">
        <v>0</v>
      </c>
      <c r="R291" s="10">
        <v>0</v>
      </c>
      <c r="S291" s="10">
        <v>0</v>
      </c>
      <c r="T291" s="10">
        <v>0</v>
      </c>
      <c r="U291">
        <f t="shared" si="4"/>
        <v>296</v>
      </c>
    </row>
    <row r="292" spans="1:21" x14ac:dyDescent="0.25">
      <c r="A292" s="22">
        <v>9600004244</v>
      </c>
      <c r="B292" s="10" t="s">
        <v>455</v>
      </c>
      <c r="C292" s="8" t="s">
        <v>21</v>
      </c>
      <c r="D292" s="16" t="s">
        <v>22</v>
      </c>
      <c r="E292" s="16" t="s">
        <v>101</v>
      </c>
      <c r="F292" s="10">
        <v>270047</v>
      </c>
      <c r="G292" s="10" t="s">
        <v>393</v>
      </c>
      <c r="H292" s="10">
        <v>400000122</v>
      </c>
      <c r="I292" s="10" t="s">
        <v>25</v>
      </c>
      <c r="J292" s="9">
        <v>0</v>
      </c>
      <c r="K292" s="10">
        <v>274</v>
      </c>
      <c r="L292" s="11" t="s">
        <v>33</v>
      </c>
      <c r="M292" s="8">
        <v>0</v>
      </c>
      <c r="N292" s="8">
        <v>0</v>
      </c>
      <c r="O292" s="8">
        <v>0</v>
      </c>
      <c r="P292" s="12">
        <v>0</v>
      </c>
      <c r="Q292" s="13">
        <v>0</v>
      </c>
      <c r="R292" s="10">
        <v>0</v>
      </c>
      <c r="S292" s="10">
        <v>0</v>
      </c>
      <c r="T292" s="10">
        <v>0</v>
      </c>
      <c r="U292">
        <f t="shared" si="4"/>
        <v>301</v>
      </c>
    </row>
    <row r="293" spans="1:21" x14ac:dyDescent="0.25">
      <c r="A293" s="22">
        <v>96000103</v>
      </c>
      <c r="B293" s="10" t="s">
        <v>397</v>
      </c>
      <c r="C293" s="8" t="s">
        <v>21</v>
      </c>
      <c r="D293" s="16" t="s">
        <v>96</v>
      </c>
      <c r="E293" s="16" t="s">
        <v>129</v>
      </c>
      <c r="F293" s="10">
        <v>96200201</v>
      </c>
      <c r="G293" s="10" t="s">
        <v>130</v>
      </c>
      <c r="H293" s="10">
        <v>300910002</v>
      </c>
      <c r="I293" s="10" t="s">
        <v>99</v>
      </c>
      <c r="J293" s="9">
        <v>159400</v>
      </c>
      <c r="K293" s="10">
        <v>85</v>
      </c>
      <c r="L293" s="11" t="s">
        <v>26</v>
      </c>
      <c r="M293" s="8">
        <v>79</v>
      </c>
      <c r="N293" s="8">
        <v>55</v>
      </c>
      <c r="O293" s="8">
        <v>134</v>
      </c>
      <c r="P293" s="12">
        <v>0.41</v>
      </c>
      <c r="Q293" s="13">
        <v>80400</v>
      </c>
      <c r="R293" s="10">
        <v>17</v>
      </c>
      <c r="S293" s="10">
        <v>14</v>
      </c>
      <c r="T293" s="10">
        <v>3</v>
      </c>
      <c r="U293">
        <f t="shared" si="4"/>
        <v>24</v>
      </c>
    </row>
    <row r="294" spans="1:21" x14ac:dyDescent="0.25">
      <c r="A294" s="22">
        <v>96000108</v>
      </c>
      <c r="B294" s="10" t="s">
        <v>398</v>
      </c>
      <c r="C294" s="8" t="s">
        <v>21</v>
      </c>
      <c r="D294" s="16" t="s">
        <v>96</v>
      </c>
      <c r="E294" s="16" t="s">
        <v>97</v>
      </c>
      <c r="F294" s="10">
        <v>302120004</v>
      </c>
      <c r="G294" s="10" t="s">
        <v>399</v>
      </c>
      <c r="H294" s="10">
        <v>300910002</v>
      </c>
      <c r="I294" s="10" t="s">
        <v>99</v>
      </c>
      <c r="J294" s="9">
        <v>391000</v>
      </c>
      <c r="K294" s="10">
        <v>9</v>
      </c>
      <c r="L294" s="11" t="s">
        <v>26</v>
      </c>
      <c r="M294" s="8">
        <v>146</v>
      </c>
      <c r="N294" s="8">
        <v>33</v>
      </c>
      <c r="O294" s="8">
        <v>179</v>
      </c>
      <c r="P294" s="12">
        <v>0.66</v>
      </c>
      <c r="Q294" s="13">
        <v>179000</v>
      </c>
      <c r="R294" s="10">
        <v>23</v>
      </c>
      <c r="S294" s="10">
        <v>17</v>
      </c>
      <c r="T294" s="10">
        <v>6</v>
      </c>
      <c r="U294">
        <f t="shared" si="4"/>
        <v>12</v>
      </c>
    </row>
    <row r="295" spans="1:21" x14ac:dyDescent="0.25">
      <c r="A295" s="22">
        <v>96000112</v>
      </c>
      <c r="B295" s="10" t="s">
        <v>400</v>
      </c>
      <c r="C295" s="8" t="s">
        <v>21</v>
      </c>
      <c r="D295" s="16" t="s">
        <v>96</v>
      </c>
      <c r="E295" s="16" t="s">
        <v>97</v>
      </c>
      <c r="F295" s="10">
        <v>302120004</v>
      </c>
      <c r="G295" s="10" t="s">
        <v>399</v>
      </c>
      <c r="H295" s="10">
        <v>300910002</v>
      </c>
      <c r="I295" s="10" t="s">
        <v>99</v>
      </c>
      <c r="J295" s="9">
        <v>136600</v>
      </c>
      <c r="K295" s="10">
        <v>118</v>
      </c>
      <c r="L295" s="11" t="s">
        <v>26</v>
      </c>
      <c r="M295" s="8">
        <v>68</v>
      </c>
      <c r="N295" s="8">
        <v>15</v>
      </c>
      <c r="O295" s="8">
        <v>83</v>
      </c>
      <c r="P295" s="12">
        <v>0.79</v>
      </c>
      <c r="Q295" s="13">
        <v>99600</v>
      </c>
      <c r="R295" s="10">
        <v>11</v>
      </c>
      <c r="S295" s="10">
        <v>10</v>
      </c>
      <c r="T295" s="10">
        <v>1</v>
      </c>
      <c r="U295">
        <f t="shared" si="4"/>
        <v>91</v>
      </c>
    </row>
    <row r="296" spans="1:21" x14ac:dyDescent="0.25">
      <c r="A296" s="22">
        <v>96000113</v>
      </c>
      <c r="B296" s="10" t="s">
        <v>401</v>
      </c>
      <c r="C296" s="8" t="s">
        <v>21</v>
      </c>
      <c r="D296" s="16" t="s">
        <v>96</v>
      </c>
      <c r="E296" s="16" t="s">
        <v>387</v>
      </c>
      <c r="F296" s="10">
        <v>400000</v>
      </c>
      <c r="G296" s="10" t="s">
        <v>402</v>
      </c>
      <c r="H296" s="10">
        <v>300910002</v>
      </c>
      <c r="I296" s="10" t="s">
        <v>99</v>
      </c>
      <c r="J296" s="9">
        <v>611600</v>
      </c>
      <c r="K296" s="10">
        <v>1</v>
      </c>
      <c r="L296" s="11" t="s">
        <v>26</v>
      </c>
      <c r="M296" s="8">
        <v>381</v>
      </c>
      <c r="N296" s="8">
        <v>27</v>
      </c>
      <c r="O296" s="8">
        <v>408</v>
      </c>
      <c r="P296" s="12">
        <v>0.93</v>
      </c>
      <c r="Q296" s="13">
        <v>489600</v>
      </c>
      <c r="R296" s="10">
        <v>29</v>
      </c>
      <c r="S296" s="10">
        <v>21</v>
      </c>
      <c r="T296" s="10">
        <v>8</v>
      </c>
      <c r="U296">
        <f t="shared" si="4"/>
        <v>2</v>
      </c>
    </row>
    <row r="297" spans="1:21" x14ac:dyDescent="0.25">
      <c r="A297" s="22">
        <v>96000115</v>
      </c>
      <c r="B297" s="10" t="s">
        <v>403</v>
      </c>
      <c r="C297" s="8" t="s">
        <v>21</v>
      </c>
      <c r="D297" s="16" t="s">
        <v>96</v>
      </c>
      <c r="E297" s="16" t="s">
        <v>97</v>
      </c>
      <c r="F297" s="10">
        <v>302120004</v>
      </c>
      <c r="G297" s="10" t="s">
        <v>399</v>
      </c>
      <c r="H297" s="10">
        <v>300910002</v>
      </c>
      <c r="I297" s="10" t="s">
        <v>99</v>
      </c>
      <c r="J297" s="9">
        <v>282800</v>
      </c>
      <c r="K297" s="10">
        <v>24</v>
      </c>
      <c r="L297" s="11" t="s">
        <v>26</v>
      </c>
      <c r="M297" s="8">
        <v>98</v>
      </c>
      <c r="N297" s="8">
        <v>21</v>
      </c>
      <c r="O297" s="8">
        <v>119</v>
      </c>
      <c r="P297" s="12">
        <v>0.89</v>
      </c>
      <c r="Q297" s="13">
        <v>142800</v>
      </c>
      <c r="R297" s="10">
        <v>17</v>
      </c>
      <c r="S297" s="10">
        <v>13</v>
      </c>
      <c r="T297" s="10">
        <v>4</v>
      </c>
      <c r="U297">
        <f t="shared" si="4"/>
        <v>25</v>
      </c>
    </row>
    <row r="298" spans="1:21" x14ac:dyDescent="0.25">
      <c r="A298" s="22">
        <v>96000121</v>
      </c>
      <c r="B298" s="10" t="s">
        <v>404</v>
      </c>
      <c r="C298" s="8" t="s">
        <v>21</v>
      </c>
      <c r="D298" s="16" t="s">
        <v>96</v>
      </c>
      <c r="E298" s="16" t="s">
        <v>387</v>
      </c>
      <c r="F298" s="10">
        <v>9620000210</v>
      </c>
      <c r="G298" s="10" t="s">
        <v>388</v>
      </c>
      <c r="H298" s="10">
        <v>300910002</v>
      </c>
      <c r="I298" s="10" t="s">
        <v>99</v>
      </c>
      <c r="J298" s="9">
        <v>167000</v>
      </c>
      <c r="K298" s="10">
        <v>79</v>
      </c>
      <c r="L298" s="11" t="s">
        <v>26</v>
      </c>
      <c r="M298" s="8">
        <v>82</v>
      </c>
      <c r="N298" s="8">
        <v>18</v>
      </c>
      <c r="O298" s="8">
        <v>100</v>
      </c>
      <c r="P298" s="12">
        <v>0.79</v>
      </c>
      <c r="Q298" s="13">
        <v>120000</v>
      </c>
      <c r="R298" s="10">
        <v>12</v>
      </c>
      <c r="S298" s="10">
        <v>9</v>
      </c>
      <c r="T298" s="10">
        <v>3</v>
      </c>
      <c r="U298">
        <f t="shared" si="4"/>
        <v>87</v>
      </c>
    </row>
    <row r="299" spans="1:21" x14ac:dyDescent="0.25">
      <c r="A299" s="22">
        <v>96000124</v>
      </c>
      <c r="B299" s="10" t="s">
        <v>405</v>
      </c>
      <c r="C299" s="8" t="s">
        <v>21</v>
      </c>
      <c r="D299" s="16" t="s">
        <v>96</v>
      </c>
      <c r="E299" s="16" t="s">
        <v>129</v>
      </c>
      <c r="F299" s="10">
        <v>96200201</v>
      </c>
      <c r="G299" s="10" t="s">
        <v>130</v>
      </c>
      <c r="H299" s="10">
        <v>300910002</v>
      </c>
      <c r="I299" s="10" t="s">
        <v>99</v>
      </c>
      <c r="J299" s="9">
        <v>93800</v>
      </c>
      <c r="K299" s="10">
        <v>178</v>
      </c>
      <c r="L299" s="11" t="s">
        <v>33</v>
      </c>
      <c r="M299" s="8">
        <v>50</v>
      </c>
      <c r="N299" s="8">
        <v>31</v>
      </c>
      <c r="O299" s="8">
        <v>81</v>
      </c>
      <c r="P299" s="12">
        <v>0.52</v>
      </c>
      <c r="Q299" s="13">
        <v>64800</v>
      </c>
      <c r="R299" s="10">
        <v>9</v>
      </c>
      <c r="S299" s="10">
        <v>8</v>
      </c>
      <c r="T299" s="10">
        <v>1</v>
      </c>
      <c r="U299">
        <f t="shared" si="4"/>
        <v>142</v>
      </c>
    </row>
    <row r="300" spans="1:21" x14ac:dyDescent="0.25">
      <c r="A300" s="22">
        <v>960001267</v>
      </c>
      <c r="B300" s="10" t="s">
        <v>406</v>
      </c>
      <c r="C300" s="8" t="s">
        <v>21</v>
      </c>
      <c r="D300" s="16" t="s">
        <v>96</v>
      </c>
      <c r="E300" s="16" t="s">
        <v>129</v>
      </c>
      <c r="F300" s="10">
        <v>96200201</v>
      </c>
      <c r="G300" s="10" t="s">
        <v>130</v>
      </c>
      <c r="H300" s="10">
        <v>300910002</v>
      </c>
      <c r="I300" s="10" t="s">
        <v>99</v>
      </c>
      <c r="J300" s="9">
        <v>81000</v>
      </c>
      <c r="K300" s="10">
        <v>194</v>
      </c>
      <c r="L300" s="11" t="s">
        <v>33</v>
      </c>
      <c r="M300" s="8">
        <v>38</v>
      </c>
      <c r="N300" s="8">
        <v>32</v>
      </c>
      <c r="O300" s="8">
        <v>70</v>
      </c>
      <c r="P300" s="12">
        <v>0.53</v>
      </c>
      <c r="Q300" s="13">
        <v>56000</v>
      </c>
      <c r="R300" s="10">
        <v>7</v>
      </c>
      <c r="S300" s="10">
        <v>6</v>
      </c>
      <c r="T300" s="10">
        <v>1</v>
      </c>
      <c r="U300">
        <f t="shared" si="4"/>
        <v>171</v>
      </c>
    </row>
    <row r="301" spans="1:21" x14ac:dyDescent="0.25">
      <c r="A301" s="22">
        <v>960001268</v>
      </c>
      <c r="B301" s="10" t="s">
        <v>407</v>
      </c>
      <c r="C301" s="8" t="s">
        <v>21</v>
      </c>
      <c r="D301" s="16" t="s">
        <v>96</v>
      </c>
      <c r="E301" s="16" t="s">
        <v>129</v>
      </c>
      <c r="F301" s="10">
        <v>96200201</v>
      </c>
      <c r="G301" s="10" t="s">
        <v>130</v>
      </c>
      <c r="H301" s="10">
        <v>300910002</v>
      </c>
      <c r="I301" s="10" t="s">
        <v>99</v>
      </c>
      <c r="J301" s="9">
        <v>74800</v>
      </c>
      <c r="K301" s="10">
        <v>201</v>
      </c>
      <c r="L301" s="11" t="s">
        <v>33</v>
      </c>
      <c r="M301" s="8">
        <v>33</v>
      </c>
      <c r="N301" s="8">
        <v>30</v>
      </c>
      <c r="O301" s="8">
        <v>63</v>
      </c>
      <c r="P301" s="12">
        <v>0.43</v>
      </c>
      <c r="Q301" s="13">
        <v>37800</v>
      </c>
      <c r="R301" s="10">
        <v>8</v>
      </c>
      <c r="S301" s="10">
        <v>7</v>
      </c>
      <c r="T301" s="10">
        <v>1</v>
      </c>
      <c r="U301">
        <f t="shared" si="4"/>
        <v>165</v>
      </c>
    </row>
    <row r="302" spans="1:21" x14ac:dyDescent="0.25">
      <c r="A302" s="22">
        <v>960001269</v>
      </c>
      <c r="B302" s="10" t="s">
        <v>456</v>
      </c>
      <c r="C302" s="8" t="s">
        <v>21</v>
      </c>
      <c r="D302" s="16" t="s">
        <v>96</v>
      </c>
      <c r="E302" s="16" t="s">
        <v>129</v>
      </c>
      <c r="F302" s="10">
        <v>96200201</v>
      </c>
      <c r="G302" s="10" t="s">
        <v>130</v>
      </c>
      <c r="H302" s="10">
        <v>300910002</v>
      </c>
      <c r="I302" s="10" t="s">
        <v>99</v>
      </c>
      <c r="J302" s="9">
        <v>0</v>
      </c>
      <c r="K302" s="10">
        <v>274</v>
      </c>
      <c r="L302" s="11" t="s">
        <v>33</v>
      </c>
      <c r="M302" s="8">
        <v>0</v>
      </c>
      <c r="N302" s="8">
        <v>0</v>
      </c>
      <c r="O302" s="8">
        <v>0</v>
      </c>
      <c r="P302" s="12">
        <v>0</v>
      </c>
      <c r="Q302" s="13">
        <v>0</v>
      </c>
      <c r="R302" s="10">
        <v>0</v>
      </c>
      <c r="S302" s="10">
        <v>0</v>
      </c>
      <c r="T302" s="10">
        <v>0</v>
      </c>
      <c r="U302">
        <f t="shared" si="4"/>
        <v>300</v>
      </c>
    </row>
    <row r="303" spans="1:21" x14ac:dyDescent="0.25">
      <c r="A303" s="22">
        <v>96000128</v>
      </c>
      <c r="B303" s="10" t="s">
        <v>408</v>
      </c>
      <c r="C303" s="8" t="s">
        <v>21</v>
      </c>
      <c r="D303" s="16" t="s">
        <v>96</v>
      </c>
      <c r="E303" s="16" t="s">
        <v>165</v>
      </c>
      <c r="F303" s="10">
        <v>96200205</v>
      </c>
      <c r="G303" s="10" t="s">
        <v>171</v>
      </c>
      <c r="H303" s="10">
        <v>300910002</v>
      </c>
      <c r="I303" s="10" t="s">
        <v>99</v>
      </c>
      <c r="J303" s="9">
        <v>102800</v>
      </c>
      <c r="K303" s="10">
        <v>171</v>
      </c>
      <c r="L303" s="11" t="s">
        <v>26</v>
      </c>
      <c r="M303" s="8">
        <v>35</v>
      </c>
      <c r="N303" s="8">
        <v>93</v>
      </c>
      <c r="O303" s="8">
        <v>128</v>
      </c>
      <c r="P303" s="12">
        <v>0.41</v>
      </c>
      <c r="Q303" s="13">
        <v>76800</v>
      </c>
      <c r="R303" s="10">
        <v>11</v>
      </c>
      <c r="S303" s="10">
        <v>7</v>
      </c>
      <c r="T303" s="10">
        <v>4</v>
      </c>
      <c r="U303">
        <f t="shared" si="4"/>
        <v>110</v>
      </c>
    </row>
    <row r="304" spans="1:21" x14ac:dyDescent="0.25">
      <c r="A304" s="22">
        <v>96000129</v>
      </c>
      <c r="B304" s="10" t="s">
        <v>409</v>
      </c>
      <c r="C304" s="8" t="s">
        <v>21</v>
      </c>
      <c r="D304" s="16" t="s">
        <v>96</v>
      </c>
      <c r="E304" s="16" t="s">
        <v>165</v>
      </c>
      <c r="F304" s="10">
        <v>96200205</v>
      </c>
      <c r="G304" s="10" t="s">
        <v>171</v>
      </c>
      <c r="H304" s="10">
        <v>300910002</v>
      </c>
      <c r="I304" s="10" t="s">
        <v>99</v>
      </c>
      <c r="J304" s="9">
        <v>113400</v>
      </c>
      <c r="K304" s="10">
        <v>150</v>
      </c>
      <c r="L304" s="11" t="s">
        <v>26</v>
      </c>
      <c r="M304" s="8">
        <v>21</v>
      </c>
      <c r="N304" s="8">
        <v>43</v>
      </c>
      <c r="O304" s="8">
        <v>64</v>
      </c>
      <c r="P304" s="12">
        <v>0.48</v>
      </c>
      <c r="Q304" s="13">
        <v>38400</v>
      </c>
      <c r="R304" s="10">
        <v>6</v>
      </c>
      <c r="S304" s="10">
        <v>3</v>
      </c>
      <c r="T304" s="10">
        <v>3</v>
      </c>
      <c r="U304">
        <f t="shared" si="4"/>
        <v>194</v>
      </c>
    </row>
    <row r="305" spans="1:21" x14ac:dyDescent="0.25">
      <c r="A305" s="22">
        <v>96000130</v>
      </c>
      <c r="B305" s="10" t="s">
        <v>410</v>
      </c>
      <c r="C305" s="8" t="s">
        <v>21</v>
      </c>
      <c r="D305" s="16" t="s">
        <v>96</v>
      </c>
      <c r="E305" s="16" t="s">
        <v>165</v>
      </c>
      <c r="F305" s="10">
        <v>96200205</v>
      </c>
      <c r="G305" s="10" t="s">
        <v>171</v>
      </c>
      <c r="H305" s="10">
        <v>300910002</v>
      </c>
      <c r="I305" s="10" t="s">
        <v>99</v>
      </c>
      <c r="J305" s="9">
        <v>2000</v>
      </c>
      <c r="K305" s="10">
        <v>270</v>
      </c>
      <c r="L305" s="11" t="s">
        <v>33</v>
      </c>
      <c r="M305" s="8">
        <v>18</v>
      </c>
      <c r="N305" s="8">
        <v>18</v>
      </c>
      <c r="O305" s="8">
        <v>36</v>
      </c>
      <c r="P305" s="12">
        <v>0.38</v>
      </c>
      <c r="Q305" s="13">
        <v>0</v>
      </c>
      <c r="R305" s="10">
        <v>0</v>
      </c>
      <c r="S305" s="10">
        <v>1</v>
      </c>
      <c r="T305" s="10">
        <v>0</v>
      </c>
      <c r="U305">
        <f t="shared" si="4"/>
        <v>286</v>
      </c>
    </row>
    <row r="306" spans="1:21" x14ac:dyDescent="0.25">
      <c r="A306" s="22">
        <v>96000150</v>
      </c>
      <c r="B306" s="10" t="s">
        <v>411</v>
      </c>
      <c r="C306" s="8" t="s">
        <v>21</v>
      </c>
      <c r="D306" s="16" t="s">
        <v>45</v>
      </c>
      <c r="E306" s="16" t="s">
        <v>87</v>
      </c>
      <c r="F306" s="10">
        <v>230046</v>
      </c>
      <c r="G306" s="10" t="s">
        <v>121</v>
      </c>
      <c r="H306" s="10">
        <v>210001</v>
      </c>
      <c r="I306" s="10" t="s">
        <v>48</v>
      </c>
      <c r="J306" s="9">
        <v>57000</v>
      </c>
      <c r="K306" s="10">
        <v>219</v>
      </c>
      <c r="L306" s="11" t="s">
        <v>33</v>
      </c>
      <c r="M306" s="8">
        <v>38</v>
      </c>
      <c r="N306" s="8">
        <v>19</v>
      </c>
      <c r="O306" s="8">
        <v>57</v>
      </c>
      <c r="P306" s="12">
        <v>0.63</v>
      </c>
      <c r="Q306" s="13">
        <v>57000</v>
      </c>
      <c r="R306" s="10">
        <v>6</v>
      </c>
      <c r="S306" s="10">
        <v>9</v>
      </c>
      <c r="T306" s="10">
        <v>0</v>
      </c>
      <c r="U306">
        <f t="shared" si="4"/>
        <v>190</v>
      </c>
    </row>
    <row r="307" spans="1:21" x14ac:dyDescent="0.25">
      <c r="A307" s="22">
        <v>96000160</v>
      </c>
      <c r="B307" s="10" t="s">
        <v>412</v>
      </c>
      <c r="C307" s="8" t="s">
        <v>21</v>
      </c>
      <c r="D307" s="16" t="s">
        <v>96</v>
      </c>
      <c r="E307" s="16" t="s">
        <v>387</v>
      </c>
      <c r="F307" s="10">
        <v>400000</v>
      </c>
      <c r="G307" s="10" t="s">
        <v>402</v>
      </c>
      <c r="H307" s="10">
        <v>300910002</v>
      </c>
      <c r="I307" s="10" t="s">
        <v>99</v>
      </c>
      <c r="J307" s="9">
        <v>116000</v>
      </c>
      <c r="K307" s="10">
        <v>143</v>
      </c>
      <c r="L307" s="11" t="s">
        <v>26</v>
      </c>
      <c r="M307" s="8">
        <v>74</v>
      </c>
      <c r="N307" s="8">
        <v>10</v>
      </c>
      <c r="O307" s="8">
        <v>84</v>
      </c>
      <c r="P307" s="12">
        <v>0.66</v>
      </c>
      <c r="Q307" s="13">
        <v>84000</v>
      </c>
      <c r="R307" s="10">
        <v>9</v>
      </c>
      <c r="S307" s="10">
        <v>3</v>
      </c>
      <c r="T307" s="10">
        <v>6</v>
      </c>
      <c r="U307">
        <f t="shared" si="4"/>
        <v>141</v>
      </c>
    </row>
    <row r="308" spans="1:21" x14ac:dyDescent="0.25">
      <c r="A308" s="22">
        <v>96000202</v>
      </c>
      <c r="B308" s="10" t="s">
        <v>413</v>
      </c>
      <c r="C308" s="8" t="s">
        <v>21</v>
      </c>
      <c r="D308" s="16" t="s">
        <v>96</v>
      </c>
      <c r="E308" s="16" t="s">
        <v>97</v>
      </c>
      <c r="F308" s="10">
        <v>302120004</v>
      </c>
      <c r="G308" s="10" t="s">
        <v>399</v>
      </c>
      <c r="H308" s="10">
        <v>300910002</v>
      </c>
      <c r="I308" s="10" t="s">
        <v>99</v>
      </c>
      <c r="J308" s="9">
        <v>241600</v>
      </c>
      <c r="K308" s="10">
        <v>37</v>
      </c>
      <c r="L308" s="11" t="s">
        <v>26</v>
      </c>
      <c r="M308" s="8">
        <v>109</v>
      </c>
      <c r="N308" s="8">
        <v>34</v>
      </c>
      <c r="O308" s="8">
        <v>143</v>
      </c>
      <c r="P308" s="12">
        <v>0.76</v>
      </c>
      <c r="Q308" s="13">
        <v>171600</v>
      </c>
      <c r="R308" s="10">
        <v>18</v>
      </c>
      <c r="S308" s="10">
        <v>16</v>
      </c>
      <c r="T308" s="10">
        <v>2</v>
      </c>
      <c r="U308">
        <f t="shared" si="4"/>
        <v>23</v>
      </c>
    </row>
    <row r="309" spans="1:21" x14ac:dyDescent="0.25">
      <c r="A309" s="22">
        <v>96200209</v>
      </c>
      <c r="B309" s="10" t="s">
        <v>414</v>
      </c>
      <c r="C309" s="8" t="s">
        <v>21</v>
      </c>
      <c r="D309" s="16" t="s">
        <v>96</v>
      </c>
      <c r="E309" s="16" t="s">
        <v>387</v>
      </c>
      <c r="F309" s="10">
        <v>9620000210</v>
      </c>
      <c r="G309" s="10" t="s">
        <v>388</v>
      </c>
      <c r="H309" s="10">
        <v>300910002</v>
      </c>
      <c r="I309" s="10" t="s">
        <v>99</v>
      </c>
      <c r="J309" s="9">
        <v>310800</v>
      </c>
      <c r="K309" s="10">
        <v>17</v>
      </c>
      <c r="L309" s="11" t="s">
        <v>26</v>
      </c>
      <c r="M309" s="8">
        <v>166</v>
      </c>
      <c r="N309" s="8">
        <v>18</v>
      </c>
      <c r="O309" s="8">
        <v>184</v>
      </c>
      <c r="P309" s="12">
        <v>0.84</v>
      </c>
      <c r="Q309" s="13">
        <v>220800</v>
      </c>
      <c r="R309" s="10">
        <v>17</v>
      </c>
      <c r="S309" s="10">
        <v>11</v>
      </c>
      <c r="T309" s="10">
        <v>6</v>
      </c>
      <c r="U309">
        <f t="shared" si="4"/>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7AFF-2635-4BCB-A7D6-514ACAD22017}">
  <dimension ref="A1:L145"/>
  <sheetViews>
    <sheetView workbookViewId="0">
      <selection activeCell="A28" sqref="A28:XFD28"/>
    </sheetView>
  </sheetViews>
  <sheetFormatPr defaultRowHeight="15" x14ac:dyDescent="0.25"/>
  <cols>
    <col min="1" max="1" width="31" bestFit="1" customWidth="1"/>
    <col min="2" max="2" width="10.140625" bestFit="1" customWidth="1"/>
    <col min="3" max="4" width="30.42578125" bestFit="1" customWidth="1"/>
    <col min="5" max="5" width="17.5703125" bestFit="1" customWidth="1"/>
    <col min="6" max="7" width="12.140625" bestFit="1" customWidth="1"/>
    <col min="8" max="8" width="20.5703125" bestFit="1" customWidth="1"/>
    <col min="9" max="9" width="12.7109375" bestFit="1" customWidth="1"/>
    <col min="11" max="11" width="23" bestFit="1" customWidth="1"/>
  </cols>
  <sheetData>
    <row r="1" spans="1:12" x14ac:dyDescent="0.25">
      <c r="A1" t="s">
        <v>416</v>
      </c>
      <c r="C1" t="s">
        <v>417</v>
      </c>
      <c r="E1" t="s">
        <v>421</v>
      </c>
    </row>
    <row r="2" spans="1:12" x14ac:dyDescent="0.25">
      <c r="A2" s="26">
        <v>111</v>
      </c>
      <c r="C2" s="26">
        <v>52</v>
      </c>
      <c r="E2" s="26">
        <v>23</v>
      </c>
    </row>
    <row r="5" spans="1:12" x14ac:dyDescent="0.25">
      <c r="A5" s="17" t="s">
        <v>1</v>
      </c>
      <c r="B5" s="17" t="s">
        <v>3</v>
      </c>
      <c r="C5" t="s">
        <v>416</v>
      </c>
      <c r="D5" t="s">
        <v>417</v>
      </c>
      <c r="E5" t="s">
        <v>418</v>
      </c>
      <c r="F5" t="s">
        <v>420</v>
      </c>
      <c r="H5" t="s">
        <v>422</v>
      </c>
      <c r="I5" t="s">
        <v>3</v>
      </c>
      <c r="J5" t="s">
        <v>423</v>
      </c>
      <c r="K5" t="s">
        <v>424</v>
      </c>
      <c r="L5" t="s">
        <v>425</v>
      </c>
    </row>
    <row r="6" spans="1:12" x14ac:dyDescent="0.25">
      <c r="A6" t="s">
        <v>260</v>
      </c>
      <c r="B6" t="s">
        <v>137</v>
      </c>
      <c r="C6" s="26">
        <v>10</v>
      </c>
      <c r="D6" s="26">
        <v>8</v>
      </c>
      <c r="E6" s="26">
        <v>2</v>
      </c>
      <c r="F6" s="26">
        <v>124</v>
      </c>
      <c r="H6" t="str">
        <f>A6</f>
        <v>Olaleye Majeed Kayode</v>
      </c>
      <c r="I6" t="str">
        <f t="shared" ref="I6" si="0">B6</f>
        <v>North East</v>
      </c>
      <c r="J6">
        <f t="shared" ref="J6" si="1">C6</f>
        <v>10</v>
      </c>
      <c r="K6">
        <f t="shared" ref="K6" si="2">D6</f>
        <v>8</v>
      </c>
      <c r="L6">
        <f t="shared" ref="L6" si="3">E6</f>
        <v>2</v>
      </c>
    </row>
    <row r="7" spans="1:12" x14ac:dyDescent="0.25">
      <c r="A7" t="s">
        <v>265</v>
      </c>
      <c r="B7" t="s">
        <v>137</v>
      </c>
      <c r="C7" s="26">
        <v>9</v>
      </c>
      <c r="D7" s="26">
        <v>4</v>
      </c>
      <c r="E7" s="26">
        <v>5</v>
      </c>
      <c r="F7" s="26">
        <v>132</v>
      </c>
      <c r="H7" t="str">
        <f t="shared" ref="H7:H24" si="4">A7</f>
        <v>Adamu Saidu</v>
      </c>
      <c r="I7" t="str">
        <f t="shared" ref="I7:I25" si="5">B7</f>
        <v>North East</v>
      </c>
      <c r="J7">
        <f t="shared" ref="J7:J25" si="6">C7</f>
        <v>9</v>
      </c>
      <c r="K7">
        <f t="shared" ref="K7:K25" si="7">D7</f>
        <v>4</v>
      </c>
      <c r="L7">
        <f t="shared" ref="L7:L25" si="8">E7</f>
        <v>5</v>
      </c>
    </row>
    <row r="8" spans="1:12" x14ac:dyDescent="0.25">
      <c r="A8" t="s">
        <v>256</v>
      </c>
      <c r="B8" t="s">
        <v>137</v>
      </c>
      <c r="C8" s="26">
        <v>9</v>
      </c>
      <c r="D8" s="26">
        <v>7</v>
      </c>
      <c r="E8" s="26">
        <v>2</v>
      </c>
      <c r="F8" s="26">
        <v>139</v>
      </c>
      <c r="H8" t="str">
        <f t="shared" si="4"/>
        <v>Echefu Chibueze Chris</v>
      </c>
      <c r="I8" t="str">
        <f t="shared" si="5"/>
        <v>North East</v>
      </c>
      <c r="J8">
        <f t="shared" si="6"/>
        <v>9</v>
      </c>
      <c r="K8">
        <f t="shared" si="7"/>
        <v>7</v>
      </c>
      <c r="L8">
        <f t="shared" si="8"/>
        <v>2</v>
      </c>
    </row>
    <row r="9" spans="1:12" x14ac:dyDescent="0.25">
      <c r="A9" t="s">
        <v>276</v>
      </c>
      <c r="B9" t="s">
        <v>137</v>
      </c>
      <c r="C9" s="26">
        <v>9</v>
      </c>
      <c r="D9" s="26">
        <v>2</v>
      </c>
      <c r="E9" s="26">
        <v>7</v>
      </c>
      <c r="F9" s="26">
        <v>143</v>
      </c>
      <c r="H9" t="str">
        <f t="shared" si="4"/>
        <v>JOSHUA VINA</v>
      </c>
      <c r="I9" t="str">
        <f t="shared" si="5"/>
        <v>North East</v>
      </c>
      <c r="J9">
        <f t="shared" si="6"/>
        <v>9</v>
      </c>
      <c r="K9">
        <f t="shared" si="7"/>
        <v>2</v>
      </c>
      <c r="L9">
        <f t="shared" si="8"/>
        <v>7</v>
      </c>
    </row>
    <row r="10" spans="1:12" x14ac:dyDescent="0.25">
      <c r="A10" t="s">
        <v>259</v>
      </c>
      <c r="B10" t="s">
        <v>137</v>
      </c>
      <c r="C10" s="26">
        <v>8</v>
      </c>
      <c r="D10" s="26">
        <v>6</v>
      </c>
      <c r="E10" s="26">
        <v>2</v>
      </c>
      <c r="F10" s="26">
        <v>155</v>
      </c>
      <c r="H10" t="str">
        <f t="shared" si="4"/>
        <v>Amina Gazali</v>
      </c>
      <c r="I10" t="str">
        <f t="shared" si="5"/>
        <v>North East</v>
      </c>
      <c r="J10">
        <f t="shared" si="6"/>
        <v>8</v>
      </c>
      <c r="K10">
        <f t="shared" si="7"/>
        <v>6</v>
      </c>
      <c r="L10">
        <f t="shared" si="8"/>
        <v>2</v>
      </c>
    </row>
    <row r="11" spans="1:12" x14ac:dyDescent="0.25">
      <c r="A11" t="s">
        <v>141</v>
      </c>
      <c r="B11" t="s">
        <v>137</v>
      </c>
      <c r="C11" s="26">
        <v>7</v>
      </c>
      <c r="D11" s="26">
        <v>3</v>
      </c>
      <c r="E11" s="26">
        <v>4</v>
      </c>
      <c r="F11" s="26">
        <v>182</v>
      </c>
      <c r="H11" t="str">
        <f t="shared" si="4"/>
        <v>Simon Clement Achu</v>
      </c>
      <c r="I11" t="str">
        <f t="shared" si="5"/>
        <v>North East</v>
      </c>
      <c r="J11">
        <f t="shared" si="6"/>
        <v>7</v>
      </c>
      <c r="K11">
        <f t="shared" si="7"/>
        <v>3</v>
      </c>
      <c r="L11">
        <f t="shared" si="8"/>
        <v>4</v>
      </c>
    </row>
    <row r="12" spans="1:12" x14ac:dyDescent="0.25">
      <c r="A12" t="s">
        <v>279</v>
      </c>
      <c r="B12" t="s">
        <v>137</v>
      </c>
      <c r="C12" s="26">
        <v>6</v>
      </c>
      <c r="D12" s="26">
        <v>2</v>
      </c>
      <c r="E12" s="26">
        <v>4</v>
      </c>
      <c r="F12" s="26">
        <v>186</v>
      </c>
      <c r="H12" t="str">
        <f t="shared" si="4"/>
        <v>Adeyele Kemi Bola</v>
      </c>
      <c r="I12" t="str">
        <f t="shared" si="5"/>
        <v>North East</v>
      </c>
      <c r="J12">
        <f t="shared" si="6"/>
        <v>6</v>
      </c>
      <c r="K12">
        <f t="shared" si="7"/>
        <v>2</v>
      </c>
      <c r="L12">
        <f t="shared" si="8"/>
        <v>4</v>
      </c>
    </row>
    <row r="13" spans="1:12" x14ac:dyDescent="0.25">
      <c r="A13" t="s">
        <v>278</v>
      </c>
      <c r="B13" t="s">
        <v>137</v>
      </c>
      <c r="C13" s="26">
        <v>6</v>
      </c>
      <c r="D13" s="26">
        <v>3</v>
      </c>
      <c r="E13" s="26">
        <v>3</v>
      </c>
      <c r="F13" s="26">
        <v>191</v>
      </c>
      <c r="H13" t="str">
        <f t="shared" si="4"/>
        <v>DAFFA NANRE VONGJEN</v>
      </c>
      <c r="I13" t="str">
        <f t="shared" si="5"/>
        <v>North East</v>
      </c>
      <c r="J13">
        <f t="shared" si="6"/>
        <v>6</v>
      </c>
      <c r="K13">
        <f t="shared" si="7"/>
        <v>3</v>
      </c>
      <c r="L13">
        <f t="shared" si="8"/>
        <v>3</v>
      </c>
    </row>
    <row r="14" spans="1:12" x14ac:dyDescent="0.25">
      <c r="A14" t="s">
        <v>136</v>
      </c>
      <c r="B14" t="s">
        <v>137</v>
      </c>
      <c r="C14" s="26">
        <v>6</v>
      </c>
      <c r="D14" s="26">
        <v>1</v>
      </c>
      <c r="E14" s="26">
        <v>5</v>
      </c>
      <c r="F14" s="26">
        <v>196</v>
      </c>
      <c r="H14" t="str">
        <f t="shared" si="4"/>
        <v>Ishaku Simon</v>
      </c>
      <c r="I14" t="str">
        <f t="shared" si="5"/>
        <v>North East</v>
      </c>
      <c r="J14">
        <f t="shared" si="6"/>
        <v>6</v>
      </c>
      <c r="K14">
        <f t="shared" si="7"/>
        <v>1</v>
      </c>
      <c r="L14">
        <f t="shared" si="8"/>
        <v>5</v>
      </c>
    </row>
    <row r="15" spans="1:12" x14ac:dyDescent="0.25">
      <c r="A15" t="s">
        <v>280</v>
      </c>
      <c r="B15" t="s">
        <v>137</v>
      </c>
      <c r="C15" s="26">
        <v>6</v>
      </c>
      <c r="D15" s="26">
        <v>0</v>
      </c>
      <c r="E15" s="26">
        <v>6</v>
      </c>
      <c r="F15" s="26">
        <v>200</v>
      </c>
      <c r="H15" t="str">
        <f t="shared" si="4"/>
        <v>Mukhtar Adamu</v>
      </c>
      <c r="I15" t="str">
        <f t="shared" si="5"/>
        <v>North East</v>
      </c>
      <c r="J15">
        <f t="shared" si="6"/>
        <v>6</v>
      </c>
      <c r="K15">
        <f t="shared" si="7"/>
        <v>0</v>
      </c>
      <c r="L15">
        <f t="shared" si="8"/>
        <v>6</v>
      </c>
    </row>
    <row r="16" spans="1:12" x14ac:dyDescent="0.25">
      <c r="A16" t="s">
        <v>144</v>
      </c>
      <c r="B16" t="s">
        <v>137</v>
      </c>
      <c r="C16" s="26">
        <v>5</v>
      </c>
      <c r="D16" s="26">
        <v>2</v>
      </c>
      <c r="E16" s="26">
        <v>3</v>
      </c>
      <c r="F16" s="26">
        <v>207</v>
      </c>
      <c r="H16" t="str">
        <f t="shared" si="4"/>
        <v>Abubakar Usman Yahaya</v>
      </c>
      <c r="I16" t="str">
        <f t="shared" si="5"/>
        <v>North East</v>
      </c>
      <c r="J16">
        <f t="shared" si="6"/>
        <v>5</v>
      </c>
      <c r="K16">
        <f t="shared" si="7"/>
        <v>2</v>
      </c>
      <c r="L16">
        <f t="shared" si="8"/>
        <v>3</v>
      </c>
    </row>
    <row r="17" spans="1:12" x14ac:dyDescent="0.25">
      <c r="A17" t="s">
        <v>261</v>
      </c>
      <c r="B17" t="s">
        <v>137</v>
      </c>
      <c r="C17" s="26">
        <v>5</v>
      </c>
      <c r="D17" s="26">
        <v>3</v>
      </c>
      <c r="E17" s="26">
        <v>2</v>
      </c>
      <c r="F17" s="26">
        <v>213</v>
      </c>
      <c r="H17" t="str">
        <f t="shared" si="4"/>
        <v>Lukman Iliyasu</v>
      </c>
      <c r="I17" t="str">
        <f t="shared" si="5"/>
        <v>North East</v>
      </c>
      <c r="J17">
        <f t="shared" si="6"/>
        <v>5</v>
      </c>
      <c r="K17">
        <f t="shared" si="7"/>
        <v>3</v>
      </c>
      <c r="L17">
        <f t="shared" si="8"/>
        <v>2</v>
      </c>
    </row>
    <row r="18" spans="1:12" x14ac:dyDescent="0.25">
      <c r="A18" t="s">
        <v>282</v>
      </c>
      <c r="B18" t="s">
        <v>137</v>
      </c>
      <c r="C18" s="26">
        <v>4</v>
      </c>
      <c r="D18" s="26">
        <v>0</v>
      </c>
      <c r="E18" s="26">
        <v>4</v>
      </c>
      <c r="F18" s="26">
        <v>224</v>
      </c>
      <c r="H18" t="str">
        <f t="shared" si="4"/>
        <v>Bulus Musa</v>
      </c>
      <c r="I18" t="str">
        <f t="shared" si="5"/>
        <v>North East</v>
      </c>
      <c r="J18">
        <f t="shared" si="6"/>
        <v>4</v>
      </c>
      <c r="K18">
        <f t="shared" si="7"/>
        <v>0</v>
      </c>
      <c r="L18">
        <f t="shared" si="8"/>
        <v>4</v>
      </c>
    </row>
    <row r="19" spans="1:12" x14ac:dyDescent="0.25">
      <c r="A19" t="s">
        <v>253</v>
      </c>
      <c r="B19" t="s">
        <v>137</v>
      </c>
      <c r="C19" s="26">
        <v>4</v>
      </c>
      <c r="D19" s="26">
        <v>2</v>
      </c>
      <c r="E19" s="26">
        <v>2</v>
      </c>
      <c r="F19" s="26">
        <v>227</v>
      </c>
      <c r="H19" t="str">
        <f t="shared" si="4"/>
        <v>ISAAC JOSEPH PUKUMA</v>
      </c>
      <c r="I19" t="str">
        <f t="shared" si="5"/>
        <v>North East</v>
      </c>
      <c r="J19">
        <f t="shared" si="6"/>
        <v>4</v>
      </c>
      <c r="K19">
        <f t="shared" si="7"/>
        <v>2</v>
      </c>
      <c r="L19">
        <f t="shared" si="8"/>
        <v>2</v>
      </c>
    </row>
    <row r="20" spans="1:12" x14ac:dyDescent="0.25">
      <c r="A20" t="s">
        <v>264</v>
      </c>
      <c r="B20" t="s">
        <v>137</v>
      </c>
      <c r="C20" s="26">
        <v>4</v>
      </c>
      <c r="D20" s="26">
        <v>1</v>
      </c>
      <c r="E20" s="26">
        <v>3</v>
      </c>
      <c r="F20" s="26">
        <v>231</v>
      </c>
      <c r="H20" t="str">
        <f t="shared" si="4"/>
        <v>Rimamtanung Haruna Urum</v>
      </c>
      <c r="I20" t="str">
        <f t="shared" si="5"/>
        <v>North East</v>
      </c>
      <c r="J20">
        <f t="shared" si="6"/>
        <v>4</v>
      </c>
      <c r="K20">
        <f t="shared" si="7"/>
        <v>1</v>
      </c>
      <c r="L20">
        <f t="shared" si="8"/>
        <v>3</v>
      </c>
    </row>
    <row r="21" spans="1:12" x14ac:dyDescent="0.25">
      <c r="A21" t="s">
        <v>284</v>
      </c>
      <c r="B21" t="s">
        <v>137</v>
      </c>
      <c r="C21" s="26">
        <v>3</v>
      </c>
      <c r="D21" s="26">
        <v>4</v>
      </c>
      <c r="E21" s="26">
        <v>0</v>
      </c>
      <c r="F21" s="26">
        <v>236</v>
      </c>
      <c r="H21" t="str">
        <f t="shared" si="4"/>
        <v>Ali Modu Maina</v>
      </c>
      <c r="I21" t="str">
        <f t="shared" si="5"/>
        <v>North East</v>
      </c>
      <c r="J21">
        <f t="shared" si="6"/>
        <v>3</v>
      </c>
      <c r="K21">
        <f t="shared" si="7"/>
        <v>4</v>
      </c>
      <c r="L21">
        <f t="shared" si="8"/>
        <v>0</v>
      </c>
    </row>
    <row r="22" spans="1:12" x14ac:dyDescent="0.25">
      <c r="A22" t="s">
        <v>286</v>
      </c>
      <c r="B22" t="s">
        <v>137</v>
      </c>
      <c r="C22" s="26">
        <v>3</v>
      </c>
      <c r="D22" s="26">
        <v>0</v>
      </c>
      <c r="E22" s="26">
        <v>3</v>
      </c>
      <c r="F22" s="26">
        <v>246</v>
      </c>
      <c r="H22" t="str">
        <f t="shared" si="4"/>
        <v>Timnah David</v>
      </c>
      <c r="I22" t="str">
        <f t="shared" si="5"/>
        <v>North East</v>
      </c>
      <c r="J22">
        <f t="shared" si="6"/>
        <v>3</v>
      </c>
      <c r="K22">
        <f t="shared" si="7"/>
        <v>0</v>
      </c>
      <c r="L22">
        <f t="shared" si="8"/>
        <v>3</v>
      </c>
    </row>
    <row r="23" spans="1:12" x14ac:dyDescent="0.25">
      <c r="A23" t="s">
        <v>285</v>
      </c>
      <c r="B23" t="s">
        <v>137</v>
      </c>
      <c r="C23" s="26">
        <v>2</v>
      </c>
      <c r="D23" s="26">
        <v>1</v>
      </c>
      <c r="E23" s="26">
        <v>1</v>
      </c>
      <c r="F23" s="26">
        <v>248</v>
      </c>
      <c r="H23" t="str">
        <f t="shared" si="4"/>
        <v>Anthony Chinda</v>
      </c>
      <c r="I23" t="str">
        <f t="shared" si="5"/>
        <v>North East</v>
      </c>
      <c r="J23">
        <f t="shared" si="6"/>
        <v>2</v>
      </c>
      <c r="K23">
        <f t="shared" si="7"/>
        <v>1</v>
      </c>
      <c r="L23">
        <f t="shared" si="8"/>
        <v>1</v>
      </c>
    </row>
    <row r="24" spans="1:12" x14ac:dyDescent="0.25">
      <c r="A24" t="s">
        <v>266</v>
      </c>
      <c r="B24" t="s">
        <v>137</v>
      </c>
      <c r="C24" s="26">
        <v>2</v>
      </c>
      <c r="D24" s="26">
        <v>0</v>
      </c>
      <c r="E24" s="26">
        <v>2</v>
      </c>
      <c r="F24" s="26">
        <v>252</v>
      </c>
      <c r="H24" t="str">
        <f t="shared" si="4"/>
        <v>Lawrence Gwazah Patrick</v>
      </c>
      <c r="I24" t="str">
        <f t="shared" si="5"/>
        <v>North East</v>
      </c>
      <c r="J24">
        <f t="shared" si="6"/>
        <v>2</v>
      </c>
      <c r="K24">
        <f t="shared" si="7"/>
        <v>0</v>
      </c>
      <c r="L24">
        <f t="shared" si="8"/>
        <v>2</v>
      </c>
    </row>
    <row r="25" spans="1:12" x14ac:dyDescent="0.25">
      <c r="A25" t="s">
        <v>263</v>
      </c>
      <c r="B25" t="s">
        <v>137</v>
      </c>
      <c r="C25" s="26">
        <v>1</v>
      </c>
      <c r="D25" s="26">
        <v>0</v>
      </c>
      <c r="E25" s="26">
        <v>1</v>
      </c>
      <c r="F25" s="26">
        <v>262</v>
      </c>
      <c r="H25" t="str">
        <f>A25</f>
        <v>Abdullahi Adamu</v>
      </c>
      <c r="I25" t="str">
        <f t="shared" si="5"/>
        <v>North East</v>
      </c>
      <c r="J25">
        <f t="shared" si="6"/>
        <v>1</v>
      </c>
      <c r="K25">
        <f t="shared" si="7"/>
        <v>0</v>
      </c>
      <c r="L25">
        <f t="shared" si="8"/>
        <v>1</v>
      </c>
    </row>
    <row r="26" spans="1:12" x14ac:dyDescent="0.25">
      <c r="A26" t="s">
        <v>415</v>
      </c>
      <c r="C26" s="26">
        <v>109</v>
      </c>
      <c r="D26" s="26">
        <v>49</v>
      </c>
      <c r="E26" s="26">
        <v>61</v>
      </c>
      <c r="F26" s="26">
        <v>3994</v>
      </c>
      <c r="H26" s="18" t="str">
        <f t="shared" ref="H26" si="9">A26</f>
        <v>Grand Total</v>
      </c>
      <c r="I26" s="18">
        <f t="shared" ref="I26" si="10">B26</f>
        <v>0</v>
      </c>
      <c r="J26" s="18">
        <f t="shared" ref="J26" si="11">C26</f>
        <v>109</v>
      </c>
      <c r="K26" s="18">
        <f t="shared" ref="K26" si="12">D26</f>
        <v>49</v>
      </c>
      <c r="L26" s="18">
        <f t="shared" ref="L26" si="13">E26</f>
        <v>61</v>
      </c>
    </row>
    <row r="124" spans="1:12" x14ac:dyDescent="0.25">
      <c r="A124" s="17" t="s">
        <v>1</v>
      </c>
      <c r="B124" s="17" t="s">
        <v>3</v>
      </c>
      <c r="C124" t="s">
        <v>416</v>
      </c>
      <c r="D124" t="s">
        <v>417</v>
      </c>
      <c r="E124" t="s">
        <v>418</v>
      </c>
      <c r="F124" t="s">
        <v>420</v>
      </c>
    </row>
    <row r="125" spans="1:12" x14ac:dyDescent="0.25">
      <c r="A125" t="s">
        <v>276</v>
      </c>
      <c r="B125" t="s">
        <v>137</v>
      </c>
      <c r="C125" s="26">
        <v>9</v>
      </c>
      <c r="D125" s="26">
        <v>2</v>
      </c>
      <c r="E125" s="26">
        <v>7</v>
      </c>
      <c r="F125" s="26">
        <v>143</v>
      </c>
      <c r="H125" t="str">
        <f>A125</f>
        <v>JOSHUA VINA</v>
      </c>
      <c r="I125" t="str">
        <f t="shared" ref="I125:L125" si="14">B125</f>
        <v>North East</v>
      </c>
      <c r="J125">
        <f t="shared" si="14"/>
        <v>9</v>
      </c>
      <c r="K125">
        <f t="shared" si="14"/>
        <v>2</v>
      </c>
      <c r="L125">
        <f t="shared" si="14"/>
        <v>7</v>
      </c>
    </row>
    <row r="126" spans="1:12" x14ac:dyDescent="0.25">
      <c r="A126" t="s">
        <v>259</v>
      </c>
      <c r="B126" t="s">
        <v>137</v>
      </c>
      <c r="C126" s="26">
        <v>8</v>
      </c>
      <c r="D126" s="26">
        <v>6</v>
      </c>
      <c r="E126" s="26">
        <v>2</v>
      </c>
      <c r="F126" s="26">
        <v>155</v>
      </c>
      <c r="H126" t="str">
        <f t="shared" ref="H126:H145" si="15">A126</f>
        <v>Amina Gazali</v>
      </c>
      <c r="I126" t="str">
        <f t="shared" ref="I126:I145" si="16">B126</f>
        <v>North East</v>
      </c>
      <c r="J126">
        <f t="shared" ref="J126:J145" si="17">C126</f>
        <v>8</v>
      </c>
      <c r="K126">
        <f t="shared" ref="K126:K145" si="18">D126</f>
        <v>6</v>
      </c>
      <c r="L126">
        <f t="shared" ref="L126:L145" si="19">E126</f>
        <v>2</v>
      </c>
    </row>
    <row r="127" spans="1:12" x14ac:dyDescent="0.25">
      <c r="A127" t="s">
        <v>141</v>
      </c>
      <c r="B127" t="s">
        <v>137</v>
      </c>
      <c r="C127" s="26">
        <v>7</v>
      </c>
      <c r="D127" s="26">
        <v>3</v>
      </c>
      <c r="E127" s="26">
        <v>4</v>
      </c>
      <c r="F127" s="26">
        <v>182</v>
      </c>
      <c r="H127" t="str">
        <f t="shared" si="15"/>
        <v>Simon Clement Achu</v>
      </c>
      <c r="I127" t="str">
        <f t="shared" si="16"/>
        <v>North East</v>
      </c>
      <c r="J127">
        <f t="shared" si="17"/>
        <v>7</v>
      </c>
      <c r="K127">
        <f t="shared" si="18"/>
        <v>3</v>
      </c>
      <c r="L127">
        <f t="shared" si="19"/>
        <v>4</v>
      </c>
    </row>
    <row r="128" spans="1:12" x14ac:dyDescent="0.25">
      <c r="A128" t="s">
        <v>279</v>
      </c>
      <c r="B128" t="s">
        <v>137</v>
      </c>
      <c r="C128" s="26">
        <v>6</v>
      </c>
      <c r="D128" s="26">
        <v>2</v>
      </c>
      <c r="E128" s="26">
        <v>4</v>
      </c>
      <c r="F128" s="26">
        <v>186</v>
      </c>
      <c r="H128" t="str">
        <f t="shared" si="15"/>
        <v>Adeyele Kemi Bola</v>
      </c>
      <c r="I128" t="str">
        <f t="shared" si="16"/>
        <v>North East</v>
      </c>
      <c r="J128">
        <f t="shared" si="17"/>
        <v>6</v>
      </c>
      <c r="K128">
        <f t="shared" si="18"/>
        <v>2</v>
      </c>
      <c r="L128">
        <f t="shared" si="19"/>
        <v>4</v>
      </c>
    </row>
    <row r="129" spans="1:12" x14ac:dyDescent="0.25">
      <c r="A129" t="s">
        <v>278</v>
      </c>
      <c r="B129" t="s">
        <v>137</v>
      </c>
      <c r="C129" s="26">
        <v>6</v>
      </c>
      <c r="D129" s="26">
        <v>3</v>
      </c>
      <c r="E129" s="26">
        <v>3</v>
      </c>
      <c r="F129" s="26">
        <v>191</v>
      </c>
      <c r="H129" t="str">
        <f t="shared" si="15"/>
        <v>DAFFA NANRE VONGJEN</v>
      </c>
      <c r="I129" t="str">
        <f t="shared" si="16"/>
        <v>North East</v>
      </c>
      <c r="J129">
        <f t="shared" si="17"/>
        <v>6</v>
      </c>
      <c r="K129">
        <f t="shared" si="18"/>
        <v>3</v>
      </c>
      <c r="L129">
        <f t="shared" si="19"/>
        <v>3</v>
      </c>
    </row>
    <row r="130" spans="1:12" x14ac:dyDescent="0.25">
      <c r="A130" t="s">
        <v>136</v>
      </c>
      <c r="B130" t="s">
        <v>137</v>
      </c>
      <c r="C130" s="26">
        <v>6</v>
      </c>
      <c r="D130" s="26">
        <v>1</v>
      </c>
      <c r="E130" s="26">
        <v>5</v>
      </c>
      <c r="F130" s="26">
        <v>196</v>
      </c>
      <c r="H130" t="str">
        <f t="shared" si="15"/>
        <v>Ishaku Simon</v>
      </c>
      <c r="I130" t="str">
        <f t="shared" si="16"/>
        <v>North East</v>
      </c>
      <c r="J130">
        <f t="shared" si="17"/>
        <v>6</v>
      </c>
      <c r="K130">
        <f t="shared" si="18"/>
        <v>1</v>
      </c>
      <c r="L130">
        <f t="shared" si="19"/>
        <v>5</v>
      </c>
    </row>
    <row r="131" spans="1:12" x14ac:dyDescent="0.25">
      <c r="A131" t="s">
        <v>280</v>
      </c>
      <c r="B131" t="s">
        <v>137</v>
      </c>
      <c r="C131" s="26">
        <v>6</v>
      </c>
      <c r="D131" s="26">
        <v>0</v>
      </c>
      <c r="E131" s="26">
        <v>6</v>
      </c>
      <c r="F131" s="26">
        <v>200</v>
      </c>
      <c r="H131" t="str">
        <f t="shared" si="15"/>
        <v>Mukhtar Adamu</v>
      </c>
      <c r="I131" t="str">
        <f t="shared" si="16"/>
        <v>North East</v>
      </c>
      <c r="J131">
        <f t="shared" si="17"/>
        <v>6</v>
      </c>
      <c r="K131">
        <f t="shared" si="18"/>
        <v>0</v>
      </c>
      <c r="L131">
        <f t="shared" si="19"/>
        <v>6</v>
      </c>
    </row>
    <row r="132" spans="1:12" x14ac:dyDescent="0.25">
      <c r="A132" t="s">
        <v>144</v>
      </c>
      <c r="B132" t="s">
        <v>137</v>
      </c>
      <c r="C132" s="26">
        <v>5</v>
      </c>
      <c r="D132" s="26">
        <v>2</v>
      </c>
      <c r="E132" s="26">
        <v>3</v>
      </c>
      <c r="F132" s="26">
        <v>207</v>
      </c>
      <c r="H132" t="str">
        <f t="shared" si="15"/>
        <v>Abubakar Usman Yahaya</v>
      </c>
      <c r="I132" t="str">
        <f t="shared" si="16"/>
        <v>North East</v>
      </c>
      <c r="J132">
        <f t="shared" si="17"/>
        <v>5</v>
      </c>
      <c r="K132">
        <f t="shared" si="18"/>
        <v>2</v>
      </c>
      <c r="L132">
        <f t="shared" si="19"/>
        <v>3</v>
      </c>
    </row>
    <row r="133" spans="1:12" x14ac:dyDescent="0.25">
      <c r="A133" t="s">
        <v>261</v>
      </c>
      <c r="B133" t="s">
        <v>137</v>
      </c>
      <c r="C133" s="26">
        <v>5</v>
      </c>
      <c r="D133" s="26">
        <v>3</v>
      </c>
      <c r="E133" s="26">
        <v>2</v>
      </c>
      <c r="F133" s="26">
        <v>213</v>
      </c>
      <c r="H133" t="str">
        <f t="shared" si="15"/>
        <v>Lukman Iliyasu</v>
      </c>
      <c r="I133" t="str">
        <f t="shared" si="16"/>
        <v>North East</v>
      </c>
      <c r="J133">
        <f t="shared" si="17"/>
        <v>5</v>
      </c>
      <c r="K133">
        <f t="shared" si="18"/>
        <v>3</v>
      </c>
      <c r="L133">
        <f t="shared" si="19"/>
        <v>2</v>
      </c>
    </row>
    <row r="134" spans="1:12" x14ac:dyDescent="0.25">
      <c r="A134" t="s">
        <v>282</v>
      </c>
      <c r="B134" t="s">
        <v>137</v>
      </c>
      <c r="C134" s="26">
        <v>4</v>
      </c>
      <c r="D134" s="26">
        <v>0</v>
      </c>
      <c r="E134" s="26">
        <v>4</v>
      </c>
      <c r="F134" s="26">
        <v>224</v>
      </c>
      <c r="H134" t="str">
        <f t="shared" si="15"/>
        <v>Bulus Musa</v>
      </c>
      <c r="I134" t="str">
        <f t="shared" si="16"/>
        <v>North East</v>
      </c>
      <c r="J134">
        <f t="shared" si="17"/>
        <v>4</v>
      </c>
      <c r="K134">
        <f t="shared" si="18"/>
        <v>0</v>
      </c>
      <c r="L134">
        <f t="shared" si="19"/>
        <v>4</v>
      </c>
    </row>
    <row r="135" spans="1:12" x14ac:dyDescent="0.25">
      <c r="A135" t="s">
        <v>253</v>
      </c>
      <c r="B135" t="s">
        <v>137</v>
      </c>
      <c r="C135" s="26">
        <v>4</v>
      </c>
      <c r="D135" s="26">
        <v>2</v>
      </c>
      <c r="E135" s="26">
        <v>2</v>
      </c>
      <c r="F135" s="26">
        <v>227</v>
      </c>
      <c r="H135" t="str">
        <f t="shared" si="15"/>
        <v>ISAAC JOSEPH PUKUMA</v>
      </c>
      <c r="I135" t="str">
        <f t="shared" si="16"/>
        <v>North East</v>
      </c>
      <c r="J135">
        <f t="shared" si="17"/>
        <v>4</v>
      </c>
      <c r="K135">
        <f t="shared" si="18"/>
        <v>2</v>
      </c>
      <c r="L135">
        <f t="shared" si="19"/>
        <v>2</v>
      </c>
    </row>
    <row r="136" spans="1:12" x14ac:dyDescent="0.25">
      <c r="A136" t="s">
        <v>264</v>
      </c>
      <c r="B136" t="s">
        <v>137</v>
      </c>
      <c r="C136" s="26">
        <v>4</v>
      </c>
      <c r="D136" s="26">
        <v>1</v>
      </c>
      <c r="E136" s="26">
        <v>3</v>
      </c>
      <c r="F136" s="26">
        <v>231</v>
      </c>
      <c r="H136" t="str">
        <f t="shared" si="15"/>
        <v>Rimamtanung Haruna Urum</v>
      </c>
      <c r="I136" t="str">
        <f t="shared" si="16"/>
        <v>North East</v>
      </c>
      <c r="J136">
        <f t="shared" si="17"/>
        <v>4</v>
      </c>
      <c r="K136">
        <f t="shared" si="18"/>
        <v>1</v>
      </c>
      <c r="L136">
        <f t="shared" si="19"/>
        <v>3</v>
      </c>
    </row>
    <row r="137" spans="1:12" x14ac:dyDescent="0.25">
      <c r="A137" t="s">
        <v>284</v>
      </c>
      <c r="B137" t="s">
        <v>137</v>
      </c>
      <c r="C137" s="26">
        <v>3</v>
      </c>
      <c r="D137" s="26">
        <v>4</v>
      </c>
      <c r="E137" s="26">
        <v>0</v>
      </c>
      <c r="F137" s="26">
        <v>236</v>
      </c>
      <c r="H137" t="str">
        <f t="shared" si="15"/>
        <v>Ali Modu Maina</v>
      </c>
      <c r="I137" t="str">
        <f t="shared" si="16"/>
        <v>North East</v>
      </c>
      <c r="J137">
        <f t="shared" si="17"/>
        <v>3</v>
      </c>
      <c r="K137">
        <f t="shared" si="18"/>
        <v>4</v>
      </c>
      <c r="L137">
        <f t="shared" si="19"/>
        <v>0</v>
      </c>
    </row>
    <row r="138" spans="1:12" x14ac:dyDescent="0.25">
      <c r="A138" t="s">
        <v>286</v>
      </c>
      <c r="B138" t="s">
        <v>137</v>
      </c>
      <c r="C138" s="26">
        <v>3</v>
      </c>
      <c r="D138" s="26">
        <v>0</v>
      </c>
      <c r="E138" s="26">
        <v>3</v>
      </c>
      <c r="F138" s="26">
        <v>246</v>
      </c>
      <c r="H138" t="str">
        <f t="shared" si="15"/>
        <v>Timnah David</v>
      </c>
      <c r="I138" t="str">
        <f t="shared" si="16"/>
        <v>North East</v>
      </c>
      <c r="J138">
        <f t="shared" si="17"/>
        <v>3</v>
      </c>
      <c r="K138">
        <f t="shared" si="18"/>
        <v>0</v>
      </c>
      <c r="L138">
        <f t="shared" si="19"/>
        <v>3</v>
      </c>
    </row>
    <row r="139" spans="1:12" x14ac:dyDescent="0.25">
      <c r="A139" t="s">
        <v>285</v>
      </c>
      <c r="B139" t="s">
        <v>137</v>
      </c>
      <c r="C139" s="26">
        <v>2</v>
      </c>
      <c r="D139" s="26">
        <v>1</v>
      </c>
      <c r="E139" s="26">
        <v>1</v>
      </c>
      <c r="F139" s="26">
        <v>248</v>
      </c>
      <c r="H139" t="str">
        <f t="shared" si="15"/>
        <v>Anthony Chinda</v>
      </c>
      <c r="I139" t="str">
        <f t="shared" si="16"/>
        <v>North East</v>
      </c>
      <c r="J139">
        <f t="shared" si="17"/>
        <v>2</v>
      </c>
      <c r="K139">
        <f t="shared" si="18"/>
        <v>1</v>
      </c>
      <c r="L139">
        <f t="shared" si="19"/>
        <v>1</v>
      </c>
    </row>
    <row r="140" spans="1:12" x14ac:dyDescent="0.25">
      <c r="A140" t="s">
        <v>266</v>
      </c>
      <c r="B140" t="s">
        <v>137</v>
      </c>
      <c r="C140" s="26">
        <v>2</v>
      </c>
      <c r="D140" s="26">
        <v>0</v>
      </c>
      <c r="E140" s="26">
        <v>2</v>
      </c>
      <c r="F140" s="26">
        <v>252</v>
      </c>
      <c r="H140" t="str">
        <f t="shared" si="15"/>
        <v>Lawrence Gwazah Patrick</v>
      </c>
      <c r="I140" t="str">
        <f t="shared" si="16"/>
        <v>North East</v>
      </c>
      <c r="J140">
        <f t="shared" si="17"/>
        <v>2</v>
      </c>
      <c r="K140">
        <f t="shared" si="18"/>
        <v>0</v>
      </c>
      <c r="L140">
        <f t="shared" si="19"/>
        <v>2</v>
      </c>
    </row>
    <row r="141" spans="1:12" x14ac:dyDescent="0.25">
      <c r="A141" t="s">
        <v>263</v>
      </c>
      <c r="B141" t="s">
        <v>137</v>
      </c>
      <c r="C141" s="26">
        <v>1</v>
      </c>
      <c r="D141" s="26">
        <v>0</v>
      </c>
      <c r="E141" s="26">
        <v>1</v>
      </c>
      <c r="F141" s="26">
        <v>262</v>
      </c>
      <c r="H141" t="str">
        <f t="shared" si="15"/>
        <v>Abdullahi Adamu</v>
      </c>
      <c r="I141" t="str">
        <f t="shared" si="16"/>
        <v>North East</v>
      </c>
      <c r="J141">
        <f t="shared" si="17"/>
        <v>1</v>
      </c>
      <c r="K141">
        <f t="shared" si="18"/>
        <v>0</v>
      </c>
      <c r="L141">
        <f t="shared" si="19"/>
        <v>1</v>
      </c>
    </row>
    <row r="142" spans="1:12" x14ac:dyDescent="0.25">
      <c r="A142" t="s">
        <v>262</v>
      </c>
      <c r="B142" t="s">
        <v>137</v>
      </c>
      <c r="C142" s="26">
        <v>1</v>
      </c>
      <c r="D142" s="26">
        <v>2</v>
      </c>
      <c r="E142" s="26">
        <v>0</v>
      </c>
      <c r="F142" s="26">
        <v>264</v>
      </c>
      <c r="H142" t="str">
        <f t="shared" si="15"/>
        <v>Akin Danladi Garnwa</v>
      </c>
      <c r="I142" t="str">
        <f t="shared" si="16"/>
        <v>North East</v>
      </c>
      <c r="J142">
        <f t="shared" si="17"/>
        <v>1</v>
      </c>
      <c r="K142">
        <f t="shared" si="18"/>
        <v>2</v>
      </c>
      <c r="L142">
        <f t="shared" si="19"/>
        <v>0</v>
      </c>
    </row>
    <row r="143" spans="1:12" x14ac:dyDescent="0.25">
      <c r="A143" t="s">
        <v>287</v>
      </c>
      <c r="B143" t="s">
        <v>137</v>
      </c>
      <c r="C143" s="26">
        <v>1</v>
      </c>
      <c r="D143" s="26">
        <v>1</v>
      </c>
      <c r="E143" s="26">
        <v>0</v>
      </c>
      <c r="F143" s="26">
        <v>269</v>
      </c>
      <c r="H143" t="str">
        <f t="shared" si="15"/>
        <v>Muhammed Bunu</v>
      </c>
      <c r="I143" t="str">
        <f t="shared" si="16"/>
        <v>North East</v>
      </c>
      <c r="J143">
        <f t="shared" si="17"/>
        <v>1</v>
      </c>
      <c r="K143">
        <f t="shared" si="18"/>
        <v>1</v>
      </c>
      <c r="L143">
        <f t="shared" si="19"/>
        <v>0</v>
      </c>
    </row>
    <row r="144" spans="1:12" x14ac:dyDescent="0.25">
      <c r="A144" t="s">
        <v>269</v>
      </c>
      <c r="B144" t="s">
        <v>137</v>
      </c>
      <c r="C144" s="26">
        <v>0</v>
      </c>
      <c r="D144" s="26">
        <v>0</v>
      </c>
      <c r="E144" s="26">
        <v>0</v>
      </c>
      <c r="F144" s="26">
        <v>293</v>
      </c>
      <c r="H144" t="str">
        <f t="shared" si="15"/>
        <v>KABIR MUHAMMAD IBRAHIM</v>
      </c>
      <c r="I144" t="str">
        <f t="shared" si="16"/>
        <v>North East</v>
      </c>
      <c r="J144">
        <f t="shared" si="17"/>
        <v>0</v>
      </c>
      <c r="K144">
        <f t="shared" si="18"/>
        <v>0</v>
      </c>
      <c r="L144">
        <f t="shared" si="19"/>
        <v>0</v>
      </c>
    </row>
    <row r="145" spans="1:12" x14ac:dyDescent="0.25">
      <c r="A145" t="s">
        <v>415</v>
      </c>
      <c r="C145" s="26">
        <v>83</v>
      </c>
      <c r="D145" s="26">
        <v>33</v>
      </c>
      <c r="E145" s="26">
        <v>52</v>
      </c>
      <c r="F145" s="26">
        <v>4425</v>
      </c>
      <c r="H145" t="str">
        <f t="shared" si="15"/>
        <v>Grand Total</v>
      </c>
      <c r="I145">
        <f t="shared" si="16"/>
        <v>0</v>
      </c>
      <c r="J145">
        <f t="shared" si="17"/>
        <v>83</v>
      </c>
      <c r="K145">
        <f t="shared" si="18"/>
        <v>33</v>
      </c>
      <c r="L145">
        <f t="shared" si="19"/>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7FF4B-F957-4CB6-98EF-94126E2081A6}">
  <dimension ref="C9:M30"/>
  <sheetViews>
    <sheetView showGridLines="0" tabSelected="1" zoomScale="69" zoomScaleNormal="69" workbookViewId="0">
      <selection activeCell="P16" sqref="P16"/>
    </sheetView>
  </sheetViews>
  <sheetFormatPr defaultRowHeight="15" x14ac:dyDescent="0.25"/>
  <cols>
    <col min="1" max="1" width="9.140625" style="23"/>
    <col min="2" max="2" width="11.7109375" style="23" customWidth="1"/>
    <col min="3" max="3" width="28.140625" style="23" customWidth="1"/>
    <col min="4" max="4" width="13.7109375" style="23" customWidth="1"/>
    <col min="5" max="5" width="24" style="23" bestFit="1" customWidth="1"/>
    <col min="6" max="6" width="23" style="23" bestFit="1" customWidth="1"/>
    <col min="7" max="7" width="8.5703125" style="23" bestFit="1" customWidth="1"/>
    <col min="8" max="8" width="9.140625" style="23"/>
    <col min="9" max="9" width="28.28515625" style="23" customWidth="1"/>
    <col min="10" max="10" width="12.7109375" style="23" bestFit="1" customWidth="1"/>
    <col min="11" max="12" width="23" style="23" bestFit="1" customWidth="1"/>
    <col min="13" max="13" width="8.5703125" style="23" bestFit="1" customWidth="1"/>
    <col min="14" max="16384" width="9.140625" style="23"/>
  </cols>
  <sheetData>
    <row r="9" spans="3:13" x14ac:dyDescent="0.25">
      <c r="C9" s="25" t="s">
        <v>422</v>
      </c>
      <c r="D9" s="25" t="s">
        <v>3</v>
      </c>
      <c r="E9" s="25" t="s">
        <v>423</v>
      </c>
      <c r="F9" s="25" t="s">
        <v>424</v>
      </c>
      <c r="G9" s="25" t="s">
        <v>425</v>
      </c>
      <c r="I9" s="25" t="s">
        <v>422</v>
      </c>
      <c r="J9" s="25" t="s">
        <v>3</v>
      </c>
      <c r="K9" s="25" t="s">
        <v>423</v>
      </c>
      <c r="L9" s="25" t="s">
        <v>424</v>
      </c>
      <c r="M9" s="25" t="s">
        <v>425</v>
      </c>
    </row>
    <row r="10" spans="3:13" x14ac:dyDescent="0.25">
      <c r="C10" s="23" t="str">
        <f>report!H6</f>
        <v>Olaleye Majeed Kayode</v>
      </c>
      <c r="D10" s="23" t="str">
        <f>report!I6</f>
        <v>North East</v>
      </c>
      <c r="E10" s="23">
        <f>report!J6</f>
        <v>10</v>
      </c>
      <c r="F10" s="23">
        <f>report!K6</f>
        <v>8</v>
      </c>
      <c r="G10" s="23">
        <f>report!L6</f>
        <v>2</v>
      </c>
      <c r="I10" s="23" t="str">
        <f>report!H125</f>
        <v>JOSHUA VINA</v>
      </c>
      <c r="J10" s="23" t="str">
        <f>report!I125</f>
        <v>North East</v>
      </c>
      <c r="K10" s="23">
        <f>report!J125</f>
        <v>9</v>
      </c>
      <c r="L10" s="23">
        <f>report!K125</f>
        <v>2</v>
      </c>
      <c r="M10" s="23">
        <f>report!L125</f>
        <v>7</v>
      </c>
    </row>
    <row r="11" spans="3:13" x14ac:dyDescent="0.25">
      <c r="C11" s="23" t="str">
        <f>report!H7</f>
        <v>Adamu Saidu</v>
      </c>
      <c r="D11" s="23" t="str">
        <f>report!I7</f>
        <v>North East</v>
      </c>
      <c r="E11" s="23">
        <f>report!J7</f>
        <v>9</v>
      </c>
      <c r="F11" s="23">
        <f>report!K7</f>
        <v>4</v>
      </c>
      <c r="G11" s="23">
        <f>report!L7</f>
        <v>5</v>
      </c>
      <c r="I11" s="23" t="str">
        <f>report!H126</f>
        <v>Amina Gazali</v>
      </c>
      <c r="J11" s="23" t="str">
        <f>report!I126</f>
        <v>North East</v>
      </c>
      <c r="K11" s="23">
        <f>report!J126</f>
        <v>8</v>
      </c>
      <c r="L11" s="23">
        <f>report!K126</f>
        <v>6</v>
      </c>
      <c r="M11" s="23">
        <f>report!L126</f>
        <v>2</v>
      </c>
    </row>
    <row r="12" spans="3:13" x14ac:dyDescent="0.25">
      <c r="C12" s="23" t="str">
        <f>report!H8</f>
        <v>Echefu Chibueze Chris</v>
      </c>
      <c r="D12" s="23" t="str">
        <f>report!I8</f>
        <v>North East</v>
      </c>
      <c r="E12" s="23">
        <f>report!J8</f>
        <v>9</v>
      </c>
      <c r="F12" s="23">
        <f>report!K8</f>
        <v>7</v>
      </c>
      <c r="G12" s="23">
        <f>report!L8</f>
        <v>2</v>
      </c>
      <c r="I12" s="23" t="str">
        <f>report!H127</f>
        <v>Simon Clement Achu</v>
      </c>
      <c r="J12" s="23" t="str">
        <f>report!I127</f>
        <v>North East</v>
      </c>
      <c r="K12" s="23">
        <f>report!J127</f>
        <v>7</v>
      </c>
      <c r="L12" s="23">
        <f>report!K127</f>
        <v>3</v>
      </c>
      <c r="M12" s="23">
        <f>report!L127</f>
        <v>4</v>
      </c>
    </row>
    <row r="13" spans="3:13" x14ac:dyDescent="0.25">
      <c r="C13" s="23" t="str">
        <f>report!H9</f>
        <v>JOSHUA VINA</v>
      </c>
      <c r="D13" s="23" t="str">
        <f>report!I9</f>
        <v>North East</v>
      </c>
      <c r="E13" s="23">
        <f>report!J9</f>
        <v>9</v>
      </c>
      <c r="F13" s="23">
        <f>report!K9</f>
        <v>2</v>
      </c>
      <c r="G13" s="23">
        <f>report!L9</f>
        <v>7</v>
      </c>
      <c r="I13" s="23" t="str">
        <f>report!H128</f>
        <v>Adeyele Kemi Bola</v>
      </c>
      <c r="J13" s="23" t="str">
        <f>report!I128</f>
        <v>North East</v>
      </c>
      <c r="K13" s="23">
        <f>report!J128</f>
        <v>6</v>
      </c>
      <c r="L13" s="23">
        <f>report!K128</f>
        <v>2</v>
      </c>
      <c r="M13" s="23">
        <f>report!L128</f>
        <v>4</v>
      </c>
    </row>
    <row r="14" spans="3:13" x14ac:dyDescent="0.25">
      <c r="C14" s="23" t="str">
        <f>report!H10</f>
        <v>Amina Gazali</v>
      </c>
      <c r="D14" s="23" t="str">
        <f>report!I10</f>
        <v>North East</v>
      </c>
      <c r="E14" s="23">
        <f>report!J10</f>
        <v>8</v>
      </c>
      <c r="F14" s="23">
        <f>report!K10</f>
        <v>6</v>
      </c>
      <c r="G14" s="23">
        <f>report!L10</f>
        <v>2</v>
      </c>
      <c r="I14" s="23" t="str">
        <f>report!H129</f>
        <v>DAFFA NANRE VONGJEN</v>
      </c>
      <c r="J14" s="23" t="str">
        <f>report!I129</f>
        <v>North East</v>
      </c>
      <c r="K14" s="23">
        <f>report!J129</f>
        <v>6</v>
      </c>
      <c r="L14" s="23">
        <f>report!K129</f>
        <v>3</v>
      </c>
      <c r="M14" s="23">
        <f>report!L129</f>
        <v>3</v>
      </c>
    </row>
    <row r="15" spans="3:13" x14ac:dyDescent="0.25">
      <c r="C15" s="23" t="str">
        <f>report!H11</f>
        <v>Simon Clement Achu</v>
      </c>
      <c r="D15" s="23" t="str">
        <f>report!I11</f>
        <v>North East</v>
      </c>
      <c r="E15" s="23">
        <f>report!J11</f>
        <v>7</v>
      </c>
      <c r="F15" s="23">
        <f>report!K11</f>
        <v>3</v>
      </c>
      <c r="G15" s="23">
        <f>report!L11</f>
        <v>4</v>
      </c>
      <c r="I15" s="23" t="str">
        <f>report!H130</f>
        <v>Ishaku Simon</v>
      </c>
      <c r="J15" s="23" t="str">
        <f>report!I130</f>
        <v>North East</v>
      </c>
      <c r="K15" s="23">
        <f>report!J130</f>
        <v>6</v>
      </c>
      <c r="L15" s="23">
        <f>report!K130</f>
        <v>1</v>
      </c>
      <c r="M15" s="23">
        <f>report!L130</f>
        <v>5</v>
      </c>
    </row>
    <row r="16" spans="3:13" x14ac:dyDescent="0.25">
      <c r="C16" s="23" t="str">
        <f>report!H12</f>
        <v>Adeyele Kemi Bola</v>
      </c>
      <c r="D16" s="23" t="str">
        <f>report!I12</f>
        <v>North East</v>
      </c>
      <c r="E16" s="23">
        <f>report!J12</f>
        <v>6</v>
      </c>
      <c r="F16" s="23">
        <f>report!K12</f>
        <v>2</v>
      </c>
      <c r="G16" s="23">
        <f>report!L12</f>
        <v>4</v>
      </c>
      <c r="I16" s="23" t="str">
        <f>report!H131</f>
        <v>Mukhtar Adamu</v>
      </c>
      <c r="J16" s="23" t="str">
        <f>report!I131</f>
        <v>North East</v>
      </c>
      <c r="K16" s="23">
        <f>report!J131</f>
        <v>6</v>
      </c>
      <c r="L16" s="23">
        <f>report!K131</f>
        <v>0</v>
      </c>
      <c r="M16" s="23">
        <f>report!L131</f>
        <v>6</v>
      </c>
    </row>
    <row r="17" spans="3:13" x14ac:dyDescent="0.25">
      <c r="C17" s="23" t="str">
        <f>report!H13</f>
        <v>DAFFA NANRE VONGJEN</v>
      </c>
      <c r="D17" s="23" t="str">
        <f>report!I13</f>
        <v>North East</v>
      </c>
      <c r="E17" s="23">
        <f>report!J13</f>
        <v>6</v>
      </c>
      <c r="F17" s="23">
        <f>report!K13</f>
        <v>3</v>
      </c>
      <c r="G17" s="23">
        <f>report!L13</f>
        <v>3</v>
      </c>
      <c r="I17" s="23" t="str">
        <f>report!H132</f>
        <v>Abubakar Usman Yahaya</v>
      </c>
      <c r="J17" s="23" t="str">
        <f>report!I132</f>
        <v>North East</v>
      </c>
      <c r="K17" s="23">
        <f>report!J132</f>
        <v>5</v>
      </c>
      <c r="L17" s="23">
        <f>report!K132</f>
        <v>2</v>
      </c>
      <c r="M17" s="23">
        <f>report!L132</f>
        <v>3</v>
      </c>
    </row>
    <row r="18" spans="3:13" x14ac:dyDescent="0.25">
      <c r="C18" s="23" t="str">
        <f>report!H14</f>
        <v>Ishaku Simon</v>
      </c>
      <c r="D18" s="23" t="str">
        <f>report!I14</f>
        <v>North East</v>
      </c>
      <c r="E18" s="23">
        <f>report!J14</f>
        <v>6</v>
      </c>
      <c r="F18" s="23">
        <f>report!K14</f>
        <v>1</v>
      </c>
      <c r="G18" s="23">
        <f>report!L14</f>
        <v>5</v>
      </c>
      <c r="I18" s="23" t="str">
        <f>report!H133</f>
        <v>Lukman Iliyasu</v>
      </c>
      <c r="J18" s="23" t="str">
        <f>report!I133</f>
        <v>North East</v>
      </c>
      <c r="K18" s="23">
        <f>report!J133</f>
        <v>5</v>
      </c>
      <c r="L18" s="23">
        <f>report!K133</f>
        <v>3</v>
      </c>
      <c r="M18" s="23">
        <f>report!L133</f>
        <v>2</v>
      </c>
    </row>
    <row r="19" spans="3:13" x14ac:dyDescent="0.25">
      <c r="C19" s="23" t="str">
        <f>report!H15</f>
        <v>Mukhtar Adamu</v>
      </c>
      <c r="D19" s="23" t="str">
        <f>report!I15</f>
        <v>North East</v>
      </c>
      <c r="E19" s="23">
        <f>report!J15</f>
        <v>6</v>
      </c>
      <c r="F19" s="23">
        <f>report!K15</f>
        <v>0</v>
      </c>
      <c r="G19" s="23">
        <f>report!L15</f>
        <v>6</v>
      </c>
      <c r="I19" s="23" t="str">
        <f>report!H134</f>
        <v>Bulus Musa</v>
      </c>
      <c r="J19" s="23" t="str">
        <f>report!I134</f>
        <v>North East</v>
      </c>
      <c r="K19" s="23">
        <f>report!J134</f>
        <v>4</v>
      </c>
      <c r="L19" s="23">
        <f>report!K134</f>
        <v>0</v>
      </c>
      <c r="M19" s="23">
        <f>report!L134</f>
        <v>4</v>
      </c>
    </row>
    <row r="20" spans="3:13" x14ac:dyDescent="0.25">
      <c r="C20" s="23" t="str">
        <f>report!H16</f>
        <v>Abubakar Usman Yahaya</v>
      </c>
      <c r="D20" s="23" t="str">
        <f>report!I16</f>
        <v>North East</v>
      </c>
      <c r="E20" s="23">
        <f>report!J16</f>
        <v>5</v>
      </c>
      <c r="F20" s="23">
        <f>report!K16</f>
        <v>2</v>
      </c>
      <c r="G20" s="23">
        <f>report!L16</f>
        <v>3</v>
      </c>
      <c r="I20" s="23" t="str">
        <f>report!H135</f>
        <v>ISAAC JOSEPH PUKUMA</v>
      </c>
      <c r="J20" s="23" t="str">
        <f>report!I135</f>
        <v>North East</v>
      </c>
      <c r="K20" s="23">
        <f>report!J135</f>
        <v>4</v>
      </c>
      <c r="L20" s="23">
        <f>report!K135</f>
        <v>2</v>
      </c>
      <c r="M20" s="23">
        <f>report!L135</f>
        <v>2</v>
      </c>
    </row>
    <row r="21" spans="3:13" x14ac:dyDescent="0.25">
      <c r="C21" s="23" t="str">
        <f>report!H17</f>
        <v>Lukman Iliyasu</v>
      </c>
      <c r="D21" s="23" t="str">
        <f>report!I17</f>
        <v>North East</v>
      </c>
      <c r="E21" s="23">
        <f>report!J17</f>
        <v>5</v>
      </c>
      <c r="F21" s="23">
        <f>report!K17</f>
        <v>3</v>
      </c>
      <c r="G21" s="23">
        <f>report!L17</f>
        <v>2</v>
      </c>
      <c r="I21" s="23" t="str">
        <f>report!H136</f>
        <v>Rimamtanung Haruna Urum</v>
      </c>
      <c r="J21" s="23" t="str">
        <f>report!I136</f>
        <v>North East</v>
      </c>
      <c r="K21" s="23">
        <f>report!J136</f>
        <v>4</v>
      </c>
      <c r="L21" s="23">
        <f>report!K136</f>
        <v>1</v>
      </c>
      <c r="M21" s="23">
        <f>report!L136</f>
        <v>3</v>
      </c>
    </row>
    <row r="22" spans="3:13" x14ac:dyDescent="0.25">
      <c r="C22" s="23" t="str">
        <f>report!H18</f>
        <v>Bulus Musa</v>
      </c>
      <c r="D22" s="23" t="str">
        <f>report!I18</f>
        <v>North East</v>
      </c>
      <c r="E22" s="23">
        <f>report!J18</f>
        <v>4</v>
      </c>
      <c r="F22" s="23">
        <f>report!K18</f>
        <v>0</v>
      </c>
      <c r="G22" s="23">
        <f>report!L18</f>
        <v>4</v>
      </c>
      <c r="I22" s="23" t="str">
        <f>report!H137</f>
        <v>Ali Modu Maina</v>
      </c>
      <c r="J22" s="23" t="str">
        <f>report!I137</f>
        <v>North East</v>
      </c>
      <c r="K22" s="23">
        <f>report!J137</f>
        <v>3</v>
      </c>
      <c r="L22" s="23">
        <f>report!K137</f>
        <v>4</v>
      </c>
      <c r="M22" s="23">
        <f>report!L137</f>
        <v>0</v>
      </c>
    </row>
    <row r="23" spans="3:13" x14ac:dyDescent="0.25">
      <c r="C23" s="23" t="str">
        <f>report!H19</f>
        <v>ISAAC JOSEPH PUKUMA</v>
      </c>
      <c r="D23" s="23" t="str">
        <f>report!I19</f>
        <v>North East</v>
      </c>
      <c r="E23" s="23">
        <f>report!J19</f>
        <v>4</v>
      </c>
      <c r="F23" s="23">
        <f>report!K19</f>
        <v>2</v>
      </c>
      <c r="G23" s="23">
        <f>report!L19</f>
        <v>2</v>
      </c>
      <c r="I23" s="23" t="str">
        <f>report!H138</f>
        <v>Timnah David</v>
      </c>
      <c r="J23" s="23" t="str">
        <f>report!I138</f>
        <v>North East</v>
      </c>
      <c r="K23" s="23">
        <f>report!J138</f>
        <v>3</v>
      </c>
      <c r="L23" s="23">
        <f>report!K138</f>
        <v>0</v>
      </c>
      <c r="M23" s="23">
        <f>report!L138</f>
        <v>3</v>
      </c>
    </row>
    <row r="24" spans="3:13" x14ac:dyDescent="0.25">
      <c r="C24" s="23" t="str">
        <f>report!H20</f>
        <v>Rimamtanung Haruna Urum</v>
      </c>
      <c r="D24" s="23" t="str">
        <f>report!I20</f>
        <v>North East</v>
      </c>
      <c r="E24" s="23">
        <f>report!J20</f>
        <v>4</v>
      </c>
      <c r="F24" s="23">
        <f>report!K20</f>
        <v>1</v>
      </c>
      <c r="G24" s="23">
        <f>report!L20</f>
        <v>3</v>
      </c>
      <c r="I24" s="23" t="str">
        <f>report!H139</f>
        <v>Anthony Chinda</v>
      </c>
      <c r="J24" s="23" t="str">
        <f>report!I139</f>
        <v>North East</v>
      </c>
      <c r="K24" s="23">
        <f>report!J139</f>
        <v>2</v>
      </c>
      <c r="L24" s="23">
        <f>report!K139</f>
        <v>1</v>
      </c>
      <c r="M24" s="23">
        <f>report!L139</f>
        <v>1</v>
      </c>
    </row>
    <row r="25" spans="3:13" x14ac:dyDescent="0.25">
      <c r="C25" s="23" t="str">
        <f>report!H21</f>
        <v>Ali Modu Maina</v>
      </c>
      <c r="D25" s="23" t="str">
        <f>report!I21</f>
        <v>North East</v>
      </c>
      <c r="E25" s="23">
        <f>report!J21</f>
        <v>3</v>
      </c>
      <c r="F25" s="23">
        <f>report!K21</f>
        <v>4</v>
      </c>
      <c r="G25" s="23">
        <f>report!L21</f>
        <v>0</v>
      </c>
      <c r="I25" s="23" t="str">
        <f>report!H140</f>
        <v>Lawrence Gwazah Patrick</v>
      </c>
      <c r="J25" s="23" t="str">
        <f>report!I140</f>
        <v>North East</v>
      </c>
      <c r="K25" s="23">
        <f>report!J140</f>
        <v>2</v>
      </c>
      <c r="L25" s="23">
        <f>report!K140</f>
        <v>0</v>
      </c>
      <c r="M25" s="23">
        <f>report!L140</f>
        <v>2</v>
      </c>
    </row>
    <row r="26" spans="3:13" x14ac:dyDescent="0.25">
      <c r="C26" s="23" t="str">
        <f>report!H22</f>
        <v>Timnah David</v>
      </c>
      <c r="D26" s="23" t="str">
        <f>report!I22</f>
        <v>North East</v>
      </c>
      <c r="E26" s="23">
        <f>report!J22</f>
        <v>3</v>
      </c>
      <c r="F26" s="23">
        <f>report!K22</f>
        <v>0</v>
      </c>
      <c r="G26" s="23">
        <f>report!L22</f>
        <v>3</v>
      </c>
      <c r="I26" s="23" t="str">
        <f>report!H141</f>
        <v>Abdullahi Adamu</v>
      </c>
      <c r="J26" s="23" t="str">
        <f>report!I141</f>
        <v>North East</v>
      </c>
      <c r="K26" s="23">
        <f>report!J141</f>
        <v>1</v>
      </c>
      <c r="L26" s="23">
        <f>report!K141</f>
        <v>0</v>
      </c>
      <c r="M26" s="23">
        <f>report!L141</f>
        <v>1</v>
      </c>
    </row>
    <row r="27" spans="3:13" x14ac:dyDescent="0.25">
      <c r="C27" s="23" t="str">
        <f>report!H23</f>
        <v>Anthony Chinda</v>
      </c>
      <c r="D27" s="23" t="str">
        <f>report!I23</f>
        <v>North East</v>
      </c>
      <c r="E27" s="23">
        <f>report!J23</f>
        <v>2</v>
      </c>
      <c r="F27" s="23">
        <f>report!K23</f>
        <v>1</v>
      </c>
      <c r="G27" s="23">
        <f>report!L23</f>
        <v>1</v>
      </c>
      <c r="I27" s="23" t="str">
        <f>report!H142</f>
        <v>Akin Danladi Garnwa</v>
      </c>
      <c r="J27" s="23" t="str">
        <f>report!I142</f>
        <v>North East</v>
      </c>
      <c r="K27" s="23">
        <f>report!J142</f>
        <v>1</v>
      </c>
      <c r="L27" s="23">
        <f>report!K142</f>
        <v>2</v>
      </c>
      <c r="M27" s="23">
        <f>report!L142</f>
        <v>0</v>
      </c>
    </row>
    <row r="28" spans="3:13" x14ac:dyDescent="0.25">
      <c r="C28" s="23" t="str">
        <f>report!H24</f>
        <v>Lawrence Gwazah Patrick</v>
      </c>
      <c r="D28" s="23" t="str">
        <f>report!I24</f>
        <v>North East</v>
      </c>
      <c r="E28" s="23">
        <f>report!J24</f>
        <v>2</v>
      </c>
      <c r="F28" s="23">
        <f>report!K24</f>
        <v>0</v>
      </c>
      <c r="G28" s="23">
        <f>report!L24</f>
        <v>2</v>
      </c>
      <c r="I28" s="23" t="str">
        <f>report!H143</f>
        <v>Muhammed Bunu</v>
      </c>
      <c r="J28" s="23" t="str">
        <f>report!I143</f>
        <v>North East</v>
      </c>
      <c r="K28" s="23">
        <f>report!J143</f>
        <v>1</v>
      </c>
      <c r="L28" s="23">
        <f>report!K143</f>
        <v>1</v>
      </c>
      <c r="M28" s="23">
        <f>report!L143</f>
        <v>0</v>
      </c>
    </row>
    <row r="29" spans="3:13" x14ac:dyDescent="0.25">
      <c r="C29" s="23" t="str">
        <f>report!H25</f>
        <v>Abdullahi Adamu</v>
      </c>
      <c r="D29" s="23" t="str">
        <f>report!I25</f>
        <v>North East</v>
      </c>
      <c r="E29" s="23">
        <f>report!J25</f>
        <v>1</v>
      </c>
      <c r="F29" s="23">
        <f>report!K25</f>
        <v>0</v>
      </c>
      <c r="G29" s="23">
        <f>report!L25</f>
        <v>1</v>
      </c>
      <c r="I29" s="23" t="str">
        <f>report!H144</f>
        <v>KABIR MUHAMMAD IBRAHIM</v>
      </c>
      <c r="J29" s="23" t="str">
        <f>report!I144</f>
        <v>North East</v>
      </c>
      <c r="K29" s="23">
        <f>report!J144</f>
        <v>0</v>
      </c>
      <c r="L29" s="23">
        <f>report!K144</f>
        <v>0</v>
      </c>
      <c r="M29" s="23">
        <f>report!L144</f>
        <v>0</v>
      </c>
    </row>
    <row r="30" spans="3:13" x14ac:dyDescent="0.25">
      <c r="C30" s="24" t="str">
        <f>report!H26</f>
        <v>Grand Total</v>
      </c>
      <c r="D30" s="24">
        <f>report!I26</f>
        <v>0</v>
      </c>
      <c r="E30" s="24">
        <f>report!J26</f>
        <v>109</v>
      </c>
      <c r="F30" s="24">
        <f>report!K26</f>
        <v>49</v>
      </c>
      <c r="G30" s="24">
        <f>report!L26</f>
        <v>61</v>
      </c>
      <c r="I30" s="24" t="str">
        <f>report!H145</f>
        <v>Grand Total</v>
      </c>
      <c r="J30" s="24">
        <f>report!I145</f>
        <v>0</v>
      </c>
      <c r="K30" s="24">
        <f>report!J145</f>
        <v>83</v>
      </c>
      <c r="L30" s="24">
        <f>report!K145</f>
        <v>33</v>
      </c>
      <c r="M30" s="24">
        <f>report!L145</f>
        <v>52</v>
      </c>
    </row>
  </sheetData>
  <conditionalFormatting sqref="E10:E29">
    <cfRule type="iconSet" priority="2">
      <iconSet>
        <cfvo type="percent" val="0"/>
        <cfvo type="num" val="10"/>
        <cfvo type="num" val="15"/>
      </iconSet>
    </cfRule>
  </conditionalFormatting>
  <conditionalFormatting sqref="K10:K29">
    <cfRule type="iconSet" priority="1">
      <iconSet>
        <cfvo type="percent" val="0"/>
        <cfvo type="num" val="10"/>
        <cfvo type="num" val="15"/>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Victor HAMZAT</cp:lastModifiedBy>
  <dcterms:created xsi:type="dcterms:W3CDTF">2026-02-23T11:10:24Z</dcterms:created>
  <dcterms:modified xsi:type="dcterms:W3CDTF">2026-03-02T14:26:00Z</dcterms:modified>
</cp:coreProperties>
</file>